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025" firstSheet="2"/>
  </bookViews>
  <sheets>
    <sheet name="nigeria_food_insecurity_all_sta" sheetId="1" r:id="rId1"/>
    <sheet name="Q1 analysis " sheetId="2" r:id="rId2"/>
    <sheet name="Q2 analysis" sheetId="3" r:id="rId3"/>
    <sheet name="Q3 analysis" sheetId="4" r:id="rId4"/>
    <sheet name="Q4 analysis" sheetId="5" r:id="rId5"/>
    <sheet name="Dashboard" sheetId="6" r:id="rId6"/>
  </sheets>
  <definedNames>
    <definedName name="_xlnm._FilterDatabase" localSheetId="0" hidden="1">nigeria_food_insecurity_all_sta!$A$1:$K$38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<sst xmlns="http://schemas.openxmlformats.org/spreadsheetml/2006/main" count="258" uniqueCount="105">
  <si>
    <t>State</t>
  </si>
  <si>
    <t>Region</t>
  </si>
  <si>
    <t>Food Insecure Population (2022)</t>
  </si>
  <si>
    <t>Food Insecure Population (2023)</t>
  </si>
  <si>
    <t>Food Insecure Population (2024)</t>
  </si>
  <si>
    <t>Food Insecure Population (2025 Projected)</t>
  </si>
  <si>
    <t>IPC Phase (2025)</t>
  </si>
  <si>
    <t>Primary Driver</t>
  </si>
  <si>
    <t>Children Malnourished Under 5</t>
  </si>
  <si>
    <t>Data Source</t>
  </si>
  <si>
    <t>Abia</t>
  </si>
  <si>
    <t>South East</t>
  </si>
  <si>
    <t>Phase 2 - Stressed</t>
  </si>
  <si>
    <t>Inflation</t>
  </si>
  <si>
    <t>Cadre Harmonise / Estimated</t>
  </si>
  <si>
    <t>Adamawa</t>
  </si>
  <si>
    <t>North East</t>
  </si>
  <si>
    <t>Phase 3 - Crisis</t>
  </si>
  <si>
    <t>Conflict</t>
  </si>
  <si>
    <t>Cadre Harmonise</t>
  </si>
  <si>
    <t>Akwa Ibom</t>
  </si>
  <si>
    <t>South South</t>
  </si>
  <si>
    <t>Estimated</t>
  </si>
  <si>
    <t>Anambra</t>
  </si>
  <si>
    <t>Bauchi</t>
  </si>
  <si>
    <t>Conflict &amp; Drought</t>
  </si>
  <si>
    <t>Bayelsa</t>
  </si>
  <si>
    <t>Benue</t>
  </si>
  <si>
    <t>North Central</t>
  </si>
  <si>
    <t>Conflict (Farmer-Herder)</t>
  </si>
  <si>
    <t>Borno</t>
  </si>
  <si>
    <t>Phase 4 - Emergency</t>
  </si>
  <si>
    <t>Cross River</t>
  </si>
  <si>
    <t>Inflation &amp; Flooding</t>
  </si>
  <si>
    <t>Delta</t>
  </si>
  <si>
    <t>Ebonyi</t>
  </si>
  <si>
    <t>Edo</t>
  </si>
  <si>
    <t>Ekiti</t>
  </si>
  <si>
    <t>South West</t>
  </si>
  <si>
    <t>Enugu</t>
  </si>
  <si>
    <t>FCT</t>
  </si>
  <si>
    <t>Gombe</t>
  </si>
  <si>
    <t>Drought &amp; Conflict</t>
  </si>
  <si>
    <t>Imo</t>
  </si>
  <si>
    <t>Jigawa</t>
  </si>
  <si>
    <t>North West</t>
  </si>
  <si>
    <t>Drought &amp; Flooding</t>
  </si>
  <si>
    <t>Kaduna</t>
  </si>
  <si>
    <t>Conflict &amp; Banditry</t>
  </si>
  <si>
    <t>Kano</t>
  </si>
  <si>
    <t>Inflation &amp; Drought</t>
  </si>
  <si>
    <t>Katsina</t>
  </si>
  <si>
    <t>Kebbi</t>
  </si>
  <si>
    <t>Flooding</t>
  </si>
  <si>
    <t>Kogi</t>
  </si>
  <si>
    <t>Kwara</t>
  </si>
  <si>
    <t>Lagos</t>
  </si>
  <si>
    <t>Nasarawa</t>
  </si>
  <si>
    <t>Niger</t>
  </si>
  <si>
    <t>Flooding &amp; Conflict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</si>
  <si>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</si>
  <si>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</si>
  <si>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</si>
  <si>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</si>
  <si>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</si>
  <si>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</si>
  <si>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</si>
  <si>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</si>
  <si>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</si>
  <si>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</si>
  <si>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Q1 Analysis: State Rankings by Food Insecure Population (2025)</t>
  </si>
  <si>
    <t>Rank</t>
  </si>
  <si>
    <t>Food Insecure population (2025)</t>
  </si>
  <si>
    <t>% of Total</t>
  </si>
  <si>
    <t>Total Food Insecure (2025)</t>
  </si>
  <si>
    <t>North Total</t>
  </si>
  <si>
    <t>South Total</t>
  </si>
  <si>
    <t>Q2 Analysis: Year-on-Year Trend by Region (2022-2025)</t>
  </si>
  <si>
    <t>Change (2022-2025)</t>
  </si>
  <si>
    <t>% Change</t>
  </si>
  <si>
    <t>TOTAL NIGERIA</t>
  </si>
  <si>
    <t>Q3 Analysis: Primary Drivers of Food Insecurity (2025)</t>
  </si>
  <si>
    <t>No. States</t>
  </si>
  <si>
    <t>Total Population Affected (2025)</t>
  </si>
  <si>
    <t>Driver Group</t>
  </si>
  <si>
    <t>Population Affected</t>
  </si>
  <si>
    <t>Conflict (all types)</t>
  </si>
  <si>
    <t>Inflation (all types)</t>
  </si>
  <si>
    <t>Flooding (all types</t>
  </si>
  <si>
    <t>Drought (all types)</t>
  </si>
  <si>
    <t>TOTAL</t>
  </si>
  <si>
    <t>Q4 Analysis: Child Malnutrition by State (Under 5)</t>
  </si>
  <si>
    <t>Children Malnourished (Under 5)</t>
  </si>
  <si>
    <t>% of Total Malnorished</t>
  </si>
  <si>
    <t>Children Malnourished</t>
  </si>
  <si>
    <t>NIGERIA FOOD INSECURITY CRISIS — DATA ANALYSIS 2022–2025</t>
  </si>
  <si>
    <t>Source: Cadre Harmonisé (FAO/WFP) | Compiled &amp; Analyzed by Daniel Emmanuel Nanshak</t>
  </si>
  <si>
    <r>
      <t xml:space="preserve">33.1M
</t>
    </r>
    <r>
      <rPr>
        <b/>
        <sz val="10"/>
        <color theme="1"/>
        <rFont val="Calibri"/>
        <charset val="134"/>
        <scheme val="minor"/>
      </rPr>
      <t>Nigerians at Risk (2025)</t>
    </r>
  </si>
  <si>
    <r>
      <t xml:space="preserve">74.4%
</t>
    </r>
    <r>
      <rPr>
        <b/>
        <sz val="10"/>
        <color theme="1"/>
        <rFont val="Calibri"/>
        <charset val="134"/>
        <scheme val="minor"/>
      </rPr>
      <t>Rise Since 2022</t>
    </r>
  </si>
  <si>
    <r>
      <t xml:space="preserve">5.4M
</t>
    </r>
    <r>
      <rPr>
        <b/>
        <sz val="10"/>
        <color theme="1"/>
        <rFont val="Calibri"/>
        <charset val="134"/>
        <scheme val="minor"/>
      </rPr>
      <t>Children Malnourished</t>
    </r>
  </si>
  <si>
    <r>
      <t xml:space="preserve">115
</t>
    </r>
    <r>
      <rPr>
        <b/>
        <sz val="10"/>
        <color theme="1"/>
        <rFont val="Calibri"/>
        <charset val="134"/>
        <scheme val="minor"/>
      </rPr>
      <t>Global Hunger Index Rank</t>
    </r>
  </si>
  <si>
    <t>Borno, Kaduna &amp; Kano account for over 20% of all food insecure Nigerians</t>
  </si>
  <si>
    <t>Conflict affects more people than Inflation, Flooding &amp; Drought combined</t>
  </si>
  <si>
    <t>890,000 children under 5 face acute malnutrition in Borno alone</t>
  </si>
  <si>
    <t>Data Sources: Cadre Harmonisé (FAO/WFP/Nigerian Government) | March 2025 Report | For Portfolio Use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</si>
</sst>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0.0_);[Red]\(0.0\)"/>
    <numFmt numFmtId="180" formatCode="0.00_);[Red]\(0.00\)"/>
  </numFmts>
  <fonts count="33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565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 style="medium">
        <color rgb="FFF7860C"/>
      </top>
      <bottom/>
      <diagonal/>
    </border>
    <border>
      <left/>
      <right/>
      <top style="medium">
        <color rgb="FFF7860C"/>
      </top>
      <bottom/>
      <diagonal/>
    </border>
    <border>
      <left/>
      <right style="medium">
        <color rgb="FFF7860C"/>
      </right>
      <top style="medium">
        <color rgb="FFF7860C"/>
      </top>
      <bottom/>
      <diagonal/>
    </border>
    <border>
      <left style="medium">
        <color rgb="FFF7860C"/>
      </left>
      <right/>
      <top style="medium">
        <color rgb="FFF7860C"/>
      </top>
      <bottom/>
      <diagonal/>
    </border>
    <border>
      <left/>
      <right style="medium">
        <color rgb="FFF7860C"/>
      </right>
      <top/>
      <bottom/>
      <diagonal/>
    </border>
    <border>
      <left style="medium">
        <color rgb="FFF7860C"/>
      </left>
      <right/>
      <top/>
      <bottom/>
      <diagonal/>
    </border>
    <border>
      <left style="thin">
        <color rgb="FFC00000"/>
      </left>
      <right/>
      <top/>
      <bottom style="medium">
        <color rgb="FFF7860C"/>
      </bottom>
      <diagonal/>
    </border>
    <border>
      <left/>
      <right/>
      <top/>
      <bottom style="medium">
        <color rgb="FFF7860C"/>
      </bottom>
      <diagonal/>
    </border>
    <border>
      <left/>
      <right style="medium">
        <color rgb="FFF7860C"/>
      </right>
      <top/>
      <bottom style="medium">
        <color rgb="FFF7860C"/>
      </bottom>
      <diagonal/>
    </border>
    <border>
      <left style="medium">
        <color rgb="FFF7860C"/>
      </left>
      <right/>
      <top/>
      <bottom style="medium">
        <color rgb="FFF7860C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4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44" applyNumberFormat="0" applyAlignment="0" applyProtection="0">
      <alignment vertical="center"/>
    </xf>
    <xf numFmtId="0" fontId="22" fillId="16" borderId="45" applyNumberFormat="0" applyAlignment="0" applyProtection="0">
      <alignment vertical="center"/>
    </xf>
    <xf numFmtId="0" fontId="23" fillId="16" borderId="44" applyNumberFormat="0" applyAlignment="0" applyProtection="0">
      <alignment vertical="center"/>
    </xf>
    <xf numFmtId="0" fontId="24" fillId="17" borderId="46" applyNumberFormat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78" fontId="4" fillId="5" borderId="9" xfId="0" applyNumberFormat="1" applyFont="1" applyFill="1" applyBorder="1" applyAlignment="1">
      <alignment horizontal="center" vertical="center" wrapText="1"/>
    </xf>
    <xf numFmtId="178" fontId="4" fillId="5" borderId="7" xfId="0" applyNumberFormat="1" applyFont="1" applyFill="1" applyBorder="1" applyAlignment="1">
      <alignment horizontal="center" vertical="center"/>
    </xf>
    <xf numFmtId="178" fontId="4" fillId="5" borderId="8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78" fontId="4" fillId="5" borderId="11" xfId="0" applyNumberFormat="1" applyFont="1" applyFill="1" applyBorder="1" applyAlignment="1">
      <alignment horizontal="center" vertical="center"/>
    </xf>
    <xf numFmtId="178" fontId="4" fillId="5" borderId="0" xfId="0" applyNumberFormat="1" applyFont="1" applyFill="1" applyAlignment="1">
      <alignment horizontal="center" vertical="center"/>
    </xf>
    <xf numFmtId="178" fontId="4" fillId="5" borderId="10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78" fontId="4" fillId="5" borderId="15" xfId="0" applyNumberFormat="1" applyFont="1" applyFill="1" applyBorder="1" applyAlignment="1">
      <alignment horizontal="center" vertical="center"/>
    </xf>
    <xf numFmtId="178" fontId="4" fillId="5" borderId="13" xfId="0" applyNumberFormat="1" applyFont="1" applyFill="1" applyBorder="1" applyAlignment="1">
      <alignment horizontal="center" vertical="center"/>
    </xf>
    <xf numFmtId="178" fontId="4" fillId="5" borderId="14" xfId="0" applyNumberFormat="1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79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11" fillId="9" borderId="0" xfId="0" applyFont="1" applyFill="1" applyAlignment="1">
      <alignment horizontal="center" vertical="center"/>
    </xf>
    <xf numFmtId="0" fontId="5" fillId="10" borderId="19" xfId="0" applyFont="1" applyFill="1" applyBorder="1">
      <alignment vertical="center"/>
    </xf>
    <xf numFmtId="0" fontId="5" fillId="10" borderId="20" xfId="0" applyFont="1" applyFill="1" applyBorder="1">
      <alignment vertical="center"/>
    </xf>
    <xf numFmtId="0" fontId="5" fillId="10" borderId="21" xfId="0" applyFont="1" applyFill="1" applyBorder="1">
      <alignment vertical="center"/>
    </xf>
    <xf numFmtId="0" fontId="5" fillId="0" borderId="22" xfId="0" applyFont="1" applyBorder="1">
      <alignment vertical="center"/>
    </xf>
    <xf numFmtId="0" fontId="5" fillId="0" borderId="23" xfId="0" applyFont="1" applyBorder="1">
      <alignment vertical="center"/>
    </xf>
    <xf numFmtId="0" fontId="0" fillId="3" borderId="22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23" xfId="0" applyFill="1" applyBorder="1">
      <alignment vertical="center"/>
    </xf>
    <xf numFmtId="179" fontId="0" fillId="11" borderId="25" xfId="0" applyNumberFormat="1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3" borderId="26" xfId="0" applyFill="1" applyBorder="1">
      <alignment vertical="center"/>
    </xf>
    <xf numFmtId="0" fontId="0" fillId="3" borderId="0" xfId="0" applyFill="1">
      <alignment vertical="center"/>
    </xf>
    <xf numFmtId="0" fontId="0" fillId="3" borderId="27" xfId="0" applyFill="1" applyBorder="1">
      <alignment vertical="center"/>
    </xf>
    <xf numFmtId="179" fontId="0" fillId="11" borderId="28" xfId="0" applyNumberFormat="1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3" borderId="26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7" xfId="0" applyFill="1" applyBorder="1">
      <alignment vertical="center"/>
    </xf>
    <xf numFmtId="179" fontId="0" fillId="11" borderId="28" xfId="0" applyNumberFormat="1" applyFill="1" applyBorder="1">
      <alignment vertical="center"/>
    </xf>
    <xf numFmtId="0" fontId="0" fillId="3" borderId="26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7" xfId="0" applyFill="1" applyBorder="1">
      <alignment vertical="center"/>
    </xf>
    <xf numFmtId="179" fontId="0" fillId="11" borderId="31" xfId="0" applyNumberFormat="1" applyFill="1" applyBorder="1">
      <alignment vertical="center"/>
    </xf>
    <xf numFmtId="0" fontId="5" fillId="9" borderId="32" xfId="0" applyFont="1" applyFill="1" applyBorder="1">
      <alignment vertical="center"/>
    </xf>
    <xf numFmtId="0" fontId="0" fillId="12" borderId="33" xfId="0" applyFill="1" applyBorder="1">
      <alignment vertical="center"/>
    </xf>
    <xf numFmtId="0" fontId="5" fillId="12" borderId="33" xfId="0" applyFont="1" applyFill="1" applyBorder="1">
      <alignment vertical="center"/>
    </xf>
    <xf numFmtId="0" fontId="5" fillId="12" borderId="34" xfId="0" applyFont="1" applyFill="1" applyBorder="1">
      <alignment vertical="center"/>
    </xf>
    <xf numFmtId="0" fontId="11" fillId="10" borderId="35" xfId="0" applyFont="1" applyFill="1" applyBorder="1" applyAlignment="1">
      <alignment horizontal="center" vertical="center"/>
    </xf>
    <xf numFmtId="0" fontId="5" fillId="12" borderId="32" xfId="0" applyFont="1" applyFill="1" applyBorder="1">
      <alignment vertical="center"/>
    </xf>
    <xf numFmtId="0" fontId="5" fillId="12" borderId="33" xfId="0" applyFont="1" applyFill="1" applyBorder="1">
      <alignment vertical="center"/>
    </xf>
    <xf numFmtId="179" fontId="5" fillId="12" borderId="34" xfId="0" applyNumberFormat="1" applyFont="1" applyFill="1" applyBorder="1">
      <alignment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179" fontId="0" fillId="0" borderId="23" xfId="0" applyNumberFormat="1" applyBorder="1">
      <alignment vertical="center"/>
    </xf>
    <xf numFmtId="179" fontId="0" fillId="0" borderId="27" xfId="0" applyNumberFormat="1" applyBorder="1">
      <alignment vertical="center"/>
    </xf>
    <xf numFmtId="0" fontId="0" fillId="0" borderId="35" xfId="0" applyBorder="1">
      <alignment vertical="center"/>
    </xf>
    <xf numFmtId="179" fontId="0" fillId="0" borderId="30" xfId="0" applyNumberFormat="1" applyBorder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180" fontId="8" fillId="2" borderId="34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5" fillId="0" borderId="35" xfId="0" applyFont="1" applyBorder="1">
      <alignment vertical="center"/>
    </xf>
    <xf numFmtId="0" fontId="5" fillId="0" borderId="35" xfId="0" applyFont="1" applyBorder="1">
      <alignment vertical="center"/>
    </xf>
    <xf numFmtId="0" fontId="5" fillId="10" borderId="19" xfId="0" applyFont="1" applyFill="1" applyBorder="1">
      <alignment vertical="center"/>
    </xf>
    <xf numFmtId="0" fontId="0" fillId="3" borderId="21" xfId="1" applyNumberFormat="1" applyFill="1" applyBorder="1">
      <alignment vertical="center"/>
    </xf>
    <xf numFmtId="0" fontId="5" fillId="0" borderId="0" xfId="0" applyFont="1" applyBorder="1">
      <alignment vertical="center"/>
    </xf>
    <xf numFmtId="0" fontId="5" fillId="10" borderId="36" xfId="0" applyFont="1" applyFill="1" applyBorder="1">
      <alignment vertical="center"/>
    </xf>
    <xf numFmtId="0" fontId="0" fillId="3" borderId="37" xfId="0" applyFill="1" applyBorder="1">
      <alignment vertical="center"/>
    </xf>
    <xf numFmtId="0" fontId="5" fillId="10" borderId="38" xfId="0" applyFont="1" applyFill="1" applyBorder="1">
      <alignment vertical="center"/>
    </xf>
    <xf numFmtId="0" fontId="0" fillId="3" borderId="39" xfId="0" applyFill="1" applyBorder="1" applyAlignment="1">
      <alignment vertical="center" wrapText="1"/>
    </xf>
    <xf numFmtId="0" fontId="9" fillId="0" borderId="0" xfId="0" applyFont="1" applyFill="1">
      <alignment vertical="center"/>
    </xf>
    <xf numFmtId="0" fontId="0" fillId="0" borderId="0" xfId="0" applyFill="1">
      <alignment vertical="center"/>
    </xf>
    <xf numFmtId="0" fontId="12" fillId="13" borderId="4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13" borderId="40" xfId="0" applyFill="1" applyBorder="1">
      <alignment vertical="center"/>
    </xf>
    <xf numFmtId="0" fontId="0" fillId="3" borderId="40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79" formatCode="0.0_);[Red]\(0.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8_Accent4" pivot="0" count="9" xr9:uid="{C6873261-7217-4147-B4B0-DF6D2ADEF0D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EA5656"/>
      <color rgb="00F7860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1" u="none" strike="noStrike" kern="1200" baseline="0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r>
              <a:rPr sz="1600" i="1" u="none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</a:rPr>
              <a:t>Top States by Acute Food </a:t>
            </a:r>
            <a:endParaRPr sz="1600" i="1" u="none">
              <a:ln w="12700" cmpd="sng">
                <a:noFill/>
                <a:prstDash val="solid"/>
              </a:ln>
              <a:blipFill>
                <a:blip r:embed="rId1"/>
                <a:tile tx="0" ty="0" sx="100000" sy="100000" flip="none" algn="tl"/>
              </a:blipFill>
            </a:endParaRPr>
          </a:p>
          <a:p>
            <a:pPr defTabSz="914400">
              <a:defRPr lang="en-US" sz="1600" b="1" i="1" u="none" strike="noStrike" kern="1200" baseline="0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r>
              <a:rPr sz="1600" i="1" u="none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</a:rPr>
              <a:t>Insecurity 2025</a:t>
            </a:r>
            <a:endParaRPr sz="1600" i="1" u="none">
              <a:ln w="12700" cmpd="sng">
                <a:noFill/>
                <a:prstDash val="solid"/>
              </a:ln>
              <a:blipFill>
                <a:blip r:embed="rId1"/>
                <a:tile tx="0" ty="0" sx="100000" sy="100000" flip="none" algn="tl"/>
              </a:blipFill>
            </a:endParaRPr>
          </a:p>
        </c:rich>
      </c:tx>
      <c:layout>
        <c:manualLayout>
          <c:xMode val="edge"/>
          <c:yMode val="edge"/>
          <c:x val="0.590526029040447"/>
          <c:y val="0.4877823266853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335413730622"/>
          <c:y val="0.00438866646134894"/>
          <c:w val="0.837265955305013"/>
          <c:h val="0.99330150908531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'Q1 analysis '!$D$3</c:f>
              <c:strCache>
                <c:ptCount val="1"/>
                <c:pt idx="0">
                  <c:v>Food Insecure population (2025)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invertIfNegative val="0"/>
            <c:bubble3D val="0"/>
            <c:spPr>
              <a:solidFill>
                <a:srgbClr val="FFFF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invertIfNegative val="0"/>
            <c:bubble3D val="0"/>
            <c:spPr>
              <a:solidFill>
                <a:srgbClr val="FFFF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invertIfNegative val="0"/>
            <c:bubble3D val="0"/>
            <c:spPr>
              <a:solidFill>
                <a:srgbClr val="FFFF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 analysis '!$B:$B</c15:sqref>
                  </c15:fullRef>
                </c:ext>
              </c:extLst>
              <c:f>'Q1 analysis '!$B$4:$B$1048576</c:f>
              <c:strCache>
                <c:ptCount val="1048573"/>
                <c:pt idx="0">
                  <c:v>Borno</c:v>
                </c:pt>
                <c:pt idx="1">
                  <c:v>Kaduna</c:v>
                </c:pt>
                <c:pt idx="2">
                  <c:v>Kano</c:v>
                </c:pt>
                <c:pt idx="3">
                  <c:v>Katsina</c:v>
                </c:pt>
                <c:pt idx="4">
                  <c:v>Zamfara</c:v>
                </c:pt>
                <c:pt idx="5">
                  <c:v>Yobe</c:v>
                </c:pt>
                <c:pt idx="6">
                  <c:v>Niger</c:v>
                </c:pt>
                <c:pt idx="7">
                  <c:v>Benue</c:v>
                </c:pt>
                <c:pt idx="8">
                  <c:v>Adamawa</c:v>
                </c:pt>
                <c:pt idx="9">
                  <c:v>Sokoto</c:v>
                </c:pt>
                <c:pt idx="10">
                  <c:v>Jigawa</c:v>
                </c:pt>
                <c:pt idx="11">
                  <c:v>Bauchi</c:v>
                </c:pt>
                <c:pt idx="12">
                  <c:v>Gombe</c:v>
                </c:pt>
                <c:pt idx="13">
                  <c:v>Kebbi</c:v>
                </c:pt>
                <c:pt idx="14">
                  <c:v>Taraba</c:v>
                </c:pt>
                <c:pt idx="15">
                  <c:v>Plateau</c:v>
                </c:pt>
                <c:pt idx="16">
                  <c:v>Nasarawa</c:v>
                </c:pt>
                <c:pt idx="17">
                  <c:v>Kogi</c:v>
                </c:pt>
                <c:pt idx="18">
                  <c:v>Kwara</c:v>
                </c:pt>
                <c:pt idx="19">
                  <c:v>Lagos</c:v>
                </c:pt>
                <c:pt idx="20">
                  <c:v>FCT</c:v>
                </c:pt>
                <c:pt idx="21">
                  <c:v>Rivers</c:v>
                </c:pt>
                <c:pt idx="22">
                  <c:v>Oyo</c:v>
                </c:pt>
                <c:pt idx="23">
                  <c:v>Ogun</c:v>
                </c:pt>
                <c:pt idx="24">
                  <c:v>Cross River</c:v>
                </c:pt>
                <c:pt idx="25">
                  <c:v>Delta</c:v>
                </c:pt>
                <c:pt idx="26">
                  <c:v>Anambra</c:v>
                </c:pt>
                <c:pt idx="27">
                  <c:v>Edo</c:v>
                </c:pt>
                <c:pt idx="28">
                  <c:v>Akwa Ibom</c:v>
                </c:pt>
                <c:pt idx="29">
                  <c:v>Enugu</c:v>
                </c:pt>
                <c:pt idx="30">
                  <c:v>Osun</c:v>
                </c:pt>
                <c:pt idx="31">
                  <c:v>Imo</c:v>
                </c:pt>
                <c:pt idx="32">
                  <c:v>Ebonyi</c:v>
                </c:pt>
                <c:pt idx="33">
                  <c:v>Abia</c:v>
                </c:pt>
                <c:pt idx="34">
                  <c:v>Bayelsa</c:v>
                </c:pt>
                <c:pt idx="35">
                  <c:v>Ekiti</c:v>
                </c:pt>
                <c:pt idx="37">
                  <c:v>29529000</c:v>
                </c:pt>
                <c:pt idx="38">
                  <c:v>25440000</c:v>
                </c:pt>
                <c:pt idx="39">
                  <c:v>4089000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 analysis '!$D$4:$D$39</c15:sqref>
                  </c15:fullRef>
                </c:ext>
              </c:extLst>
              <c:f>'Q1 analysis '!$D$7:$D$39</c:f>
              <c:numCache>
                <c:formatCode>General</c:formatCode>
                <c:ptCount val="33"/>
                <c:pt idx="0">
                  <c:v>1880000</c:v>
                </c:pt>
                <c:pt idx="1">
                  <c:v>1840000</c:v>
                </c:pt>
                <c:pt idx="2">
                  <c:v>1650000</c:v>
                </c:pt>
                <c:pt idx="3">
                  <c:v>1640000</c:v>
                </c:pt>
                <c:pt idx="4">
                  <c:v>1420000</c:v>
                </c:pt>
                <c:pt idx="5">
                  <c:v>1390000</c:v>
                </c:pt>
                <c:pt idx="6">
                  <c:v>1350000</c:v>
                </c:pt>
                <c:pt idx="7">
                  <c:v>1150000</c:v>
                </c:pt>
                <c:pt idx="8">
                  <c:v>1050000</c:v>
                </c:pt>
                <c:pt idx="9">
                  <c:v>890000</c:v>
                </c:pt>
                <c:pt idx="10">
                  <c:v>880000</c:v>
                </c:pt>
                <c:pt idx="11">
                  <c:v>820000</c:v>
                </c:pt>
                <c:pt idx="12">
                  <c:v>680000</c:v>
                </c:pt>
                <c:pt idx="13">
                  <c:v>635000</c:v>
                </c:pt>
                <c:pt idx="14">
                  <c:v>610000</c:v>
                </c:pt>
                <c:pt idx="15">
                  <c:v>555000</c:v>
                </c:pt>
                <c:pt idx="16">
                  <c:v>510000</c:v>
                </c:pt>
                <c:pt idx="17">
                  <c:v>390000</c:v>
                </c:pt>
                <c:pt idx="18">
                  <c:v>370000</c:v>
                </c:pt>
                <c:pt idx="19">
                  <c:v>325000</c:v>
                </c:pt>
                <c:pt idx="20">
                  <c:v>282000</c:v>
                </c:pt>
                <c:pt idx="21">
                  <c:v>245000</c:v>
                </c:pt>
                <c:pt idx="22">
                  <c:v>228000</c:v>
                </c:pt>
                <c:pt idx="23">
                  <c:v>215000</c:v>
                </c:pt>
                <c:pt idx="24">
                  <c:v>210000</c:v>
                </c:pt>
                <c:pt idx="25">
                  <c:v>205000</c:v>
                </c:pt>
                <c:pt idx="26">
                  <c:v>200000</c:v>
                </c:pt>
                <c:pt idx="27">
                  <c:v>195000</c:v>
                </c:pt>
                <c:pt idx="28">
                  <c:v>194000</c:v>
                </c:pt>
                <c:pt idx="29">
                  <c:v>192000</c:v>
                </c:pt>
                <c:pt idx="30">
                  <c:v>180000</c:v>
                </c:pt>
                <c:pt idx="31">
                  <c:v>168000</c:v>
                </c:pt>
                <c:pt idx="32">
                  <c:v>160000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3074440"/>
        <c:axId val="674095752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'Q1 analysis '!$E$3</c15:sqref>
                        </c15:formulaRef>
                      </c:ext>
                    </c:extLst>
                    <c:strCache>
                      <c:ptCount val="1"/>
                      <c:pt idx="0">
                        <c:v>% of Total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>
                          <a:lumMod val="40000"/>
                          <a:lumOff val="60000"/>
                        </a:schemeClr>
                      </a:gs>
                      <a:gs pos="90000">
                        <a:schemeClr val="accent3"/>
                      </a:gs>
                    </a:gsLst>
                    <a:lin ang="10800000" scaled="0"/>
                  </a:gradFill>
                  <a:ln>
                    <a:gradFill>
                      <a:gsLst>
                        <a:gs pos="0">
                          <a:schemeClr val="accent3"/>
                        </a:gs>
                        <a:gs pos="100000">
                          <a:schemeClr val="accent3">
                            <a:lumMod val="75000"/>
                          </a:schemeClr>
                        </a:gs>
                      </a:gsLst>
                      <a:lin ang="10800000" scaled="0"/>
                    </a:gradFill>
                  </a:ln>
                  <a:effectLst>
                    <a:outerShdw blurRad="76200" dist="25400" dir="2700000" algn="tl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dLbls>
                  <c:dLbl>
                    <c:idx val="28"/>
                    <c:layout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0" i="0" u="none" strike="noStrike" kern="1200" baseline="0">
                            <a:ln w="12700" cmpd="sng">
                              <a:noFill/>
                              <a:prstDash val="solid"/>
                            </a:ln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2"/>
                    <c:layout/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layout>
                          <c:manualLayout>
                            <c:w val="0.065733843366217"/>
                            <c:h val="0.00769941484447182"/>
                          </c:manualLayout>
                        </c15:layout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ln w="12700" cmpd="sng">
                            <a:noFill/>
                            <a:prstDash val="solid"/>
                          </a:ln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'Q1 analysis '!$B:$B</c15:sqref>
                        </c15:fullRef>
                        <c15:formulaRef>
                          <c15:sqref>'Q1 analysis '!$B$4:$B$1048576</c15:sqref>
                        </c15:formulaRef>
                      </c:ext>
                    </c:extLst>
                    <c:strCache>
                      <c:ptCount val="1048573"/>
                      <c:pt idx="0">
                        <c:v>Borno</c:v>
                      </c:pt>
                      <c:pt idx="1">
                        <c:v>Kaduna</c:v>
                      </c:pt>
                      <c:pt idx="2">
                        <c:v>Kano</c:v>
                      </c:pt>
                      <c:pt idx="3">
                        <c:v>Katsina</c:v>
                      </c:pt>
                      <c:pt idx="4">
                        <c:v>Zamfara</c:v>
                      </c:pt>
                      <c:pt idx="5">
                        <c:v>Yobe</c:v>
                      </c:pt>
                      <c:pt idx="6">
                        <c:v>Niger</c:v>
                      </c:pt>
                      <c:pt idx="7">
                        <c:v>Benue</c:v>
                      </c:pt>
                      <c:pt idx="8">
                        <c:v>Adamawa</c:v>
                      </c:pt>
                      <c:pt idx="9">
                        <c:v>Sokoto</c:v>
                      </c:pt>
                      <c:pt idx="10">
                        <c:v>Jigawa</c:v>
                      </c:pt>
                      <c:pt idx="11">
                        <c:v>Bauchi</c:v>
                      </c:pt>
                      <c:pt idx="12">
                        <c:v>Gombe</c:v>
                      </c:pt>
                      <c:pt idx="13">
                        <c:v>Kebbi</c:v>
                      </c:pt>
                      <c:pt idx="14">
                        <c:v>Taraba</c:v>
                      </c:pt>
                      <c:pt idx="15">
                        <c:v>Plateau</c:v>
                      </c:pt>
                      <c:pt idx="16">
                        <c:v>Nasarawa</c:v>
                      </c:pt>
                      <c:pt idx="17">
                        <c:v>Kogi</c:v>
                      </c:pt>
                      <c:pt idx="18">
                        <c:v>Kwara</c:v>
                      </c:pt>
                      <c:pt idx="19">
                        <c:v>Lagos</c:v>
                      </c:pt>
                      <c:pt idx="20">
                        <c:v>FCT</c:v>
                      </c:pt>
                      <c:pt idx="21">
                        <c:v>Rivers</c:v>
                      </c:pt>
                      <c:pt idx="22">
                        <c:v>Oyo</c:v>
                      </c:pt>
                      <c:pt idx="23">
                        <c:v>Ogun</c:v>
                      </c:pt>
                      <c:pt idx="24">
                        <c:v>Cross River</c:v>
                      </c:pt>
                      <c:pt idx="25">
                        <c:v>Delta</c:v>
                      </c:pt>
                      <c:pt idx="26">
                        <c:v>Anambra</c:v>
                      </c:pt>
                      <c:pt idx="27">
                        <c:v>Edo</c:v>
                      </c:pt>
                      <c:pt idx="28">
                        <c:v>Akwa Ibom</c:v>
                      </c:pt>
                      <c:pt idx="29">
                        <c:v>Enugu</c:v>
                      </c:pt>
                      <c:pt idx="30">
                        <c:v>Osun</c:v>
                      </c:pt>
                      <c:pt idx="31">
                        <c:v>Imo</c:v>
                      </c:pt>
                      <c:pt idx="32">
                        <c:v>Ebonyi</c:v>
                      </c:pt>
                      <c:pt idx="33">
                        <c:v>Abia</c:v>
                      </c:pt>
                      <c:pt idx="34">
                        <c:v>Bayelsa</c:v>
                      </c:pt>
                      <c:pt idx="35">
                        <c:v>Ekiti</c:v>
                      </c:pt>
                      <c:pt idx="37">
                        <c:v>29529000</c:v>
                      </c:pt>
                      <c:pt idx="38">
                        <c:v>25440000</c:v>
                      </c:pt>
                      <c:pt idx="39">
                        <c:v>4089000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'Q1 analysis '!$E$4:$E$39</c15:sqref>
                        </c15:fullRef>
                        <c15:formulaRef>
                          <c15:sqref>'Q1 analysis '!$E$7:$E$39</c15:sqref>
                        </c15:formulaRef>
                      </c:ext>
                    </c:extLst>
                    <c:numCache>
                      <c:formatCode>0.0_);[Red]\(0.0\)</c:formatCode>
                      <c:ptCount val="33"/>
                      <c:pt idx="0">
                        <c:v>6.3666226421484</c:v>
                      </c:pt>
                      <c:pt idx="1">
                        <c:v>6.23116258593247</c:v>
                      </c:pt>
                      <c:pt idx="2">
                        <c:v>5.58772731890684</c:v>
                      </c:pt>
                      <c:pt idx="3">
                        <c:v>5.55386230485286</c:v>
                      </c:pt>
                      <c:pt idx="4">
                        <c:v>4.80883199566528</c:v>
                      </c:pt>
                      <c:pt idx="5">
                        <c:v>4.70723695350333</c:v>
                      </c:pt>
                      <c:pt idx="6">
                        <c:v>4.57177689728741</c:v>
                      </c:pt>
                      <c:pt idx="7">
                        <c:v>3.8944766162078</c:v>
                      </c:pt>
                      <c:pt idx="8">
                        <c:v>3.55582647566799</c:v>
                      </c:pt>
                      <c:pt idx="9">
                        <c:v>3.01398625080429</c:v>
                      </c:pt>
                      <c:pt idx="10">
                        <c:v>2.98012123675031</c:v>
                      </c:pt>
                      <c:pt idx="11">
                        <c:v>2.77693115242643</c:v>
                      </c:pt>
                      <c:pt idx="12">
                        <c:v>2.3028209556707</c:v>
                      </c:pt>
                      <c:pt idx="13">
                        <c:v>2.15042839242778</c:v>
                      </c:pt>
                      <c:pt idx="14">
                        <c:v>2.06576585729283</c:v>
                      </c:pt>
                      <c:pt idx="15">
                        <c:v>1.87950827999594</c:v>
                      </c:pt>
                      <c:pt idx="16">
                        <c:v>1.72711571675302</c:v>
                      </c:pt>
                      <c:pt idx="17">
                        <c:v>1.32073554810525</c:v>
                      </c:pt>
                      <c:pt idx="18">
                        <c:v>1.25300551999729</c:v>
                      </c:pt>
                      <c:pt idx="19">
                        <c:v>1.10061295675438</c:v>
                      </c:pt>
                      <c:pt idx="20">
                        <c:v>0.95499339632226</c:v>
                      </c:pt>
                      <c:pt idx="21">
                        <c:v>0.82969284432253</c:v>
                      </c:pt>
                      <c:pt idx="22">
                        <c:v>0.772122320430763</c:v>
                      </c:pt>
                      <c:pt idx="23">
                        <c:v>0.728097802160588</c:v>
                      </c:pt>
                      <c:pt idx="24">
                        <c:v>0.711165295133597</c:v>
                      </c:pt>
                      <c:pt idx="25">
                        <c:v>0.694232788106607</c:v>
                      </c:pt>
                      <c:pt idx="26">
                        <c:v>0.677300281079617</c:v>
                      </c:pt>
                      <c:pt idx="27">
                        <c:v>0.660367774052626</c:v>
                      </c:pt>
                      <c:pt idx="28">
                        <c:v>0.656981272647228</c:v>
                      </c:pt>
                      <c:pt idx="29">
                        <c:v>0.650208269836432</c:v>
                      </c:pt>
                      <c:pt idx="30">
                        <c:v>0.609570252971655</c:v>
                      </c:pt>
                      <c:pt idx="31">
                        <c:v>0.568932236106878</c:v>
                      </c:pt>
                      <c:pt idx="32">
                        <c:v>0.541840224863693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77307444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4095752"/>
        <c:crosses val="autoZero"/>
        <c:auto val="1"/>
        <c:lblAlgn val="ctr"/>
        <c:lblOffset val="100"/>
        <c:noMultiLvlLbl val="0"/>
      </c:catAx>
      <c:valAx>
        <c:axId val="67409575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074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>
      <a:gsLst>
        <a:gs pos="39000">
          <a:srgbClr val="C2DAF0">
            <a:alpha val="100000"/>
          </a:srgbClr>
        </a:gs>
        <a:gs pos="51000">
          <a:srgbClr val="BED7EF">
            <a:alpha val="100000"/>
          </a:srgbClr>
        </a:gs>
        <a:gs pos="23000">
          <a:srgbClr val="C6DCF1">
            <a:alpha val="100000"/>
          </a:srgbClr>
        </a:gs>
        <a:gs pos="17000">
          <a:srgbClr val="D6E6F5">
            <a:alpha val="100000"/>
          </a:srgbClr>
        </a:gs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12700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glow rad="101600">
        <a:schemeClr val="accent5">
          <a:satMod val="175000"/>
          <a:alpha val="40000"/>
        </a:schemeClr>
      </a:glow>
      <a:softEdge rad="63500"/>
    </a:effectLst>
  </c:spPr>
  <c:txPr>
    <a:bodyPr/>
    <a:lstStyle/>
    <a:p>
      <a:pPr>
        <a:defRPr lang="en-US">
          <a:ln w="12700" cmpd="sng">
            <a:noFill/>
            <a:prstDash val="solid"/>
          </a:ln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Food Insecurity Trend by Region (2022–2025)</a:t>
            </a:r>
          </a:p>
        </c:rich>
      </c:tx>
      <c:layout/>
      <c:overlay val="0"/>
      <c:spPr>
        <a:gradFill>
          <a:gsLst>
            <a:gs pos="0">
              <a:schemeClr val="accent1">
                <a:lumMod val="40000"/>
                <a:lumOff val="60000"/>
              </a:schemeClr>
            </a:gs>
            <a:gs pos="90000">
              <a:schemeClr val="accent1"/>
            </a:gs>
          </a:gsLst>
          <a:lin ang="10800000" scaled="0"/>
        </a:gra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'Q2 analysis'!$A$4</c:f>
              <c:strCache>
                <c:ptCount val="1"/>
                <c:pt idx="0">
                  <c:v>North East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analysis'!$B$4:$E$4</c:f>
              <c:numCache>
                <c:formatCode>General</c:formatCode>
                <c:ptCount val="4"/>
                <c:pt idx="0">
                  <c:v>5005554</c:v>
                </c:pt>
                <c:pt idx="1">
                  <c:v>5930000</c:v>
                </c:pt>
                <c:pt idx="2">
                  <c:v>6673738</c:v>
                </c:pt>
                <c:pt idx="3">
                  <c:v>8410000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'Q2 analysis'!$A$5</c:f>
              <c:strCache>
                <c:ptCount val="1"/>
                <c:pt idx="0">
                  <c:v>North 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analysis'!$B$5:$E$5</c:f>
              <c:numCache>
                <c:formatCode>General</c:formatCode>
                <c:ptCount val="4"/>
                <c:pt idx="0">
                  <c:v>7080000</c:v>
                </c:pt>
                <c:pt idx="1">
                  <c:v>8220000</c:v>
                </c:pt>
                <c:pt idx="2">
                  <c:v>9413994</c:v>
                </c:pt>
                <c:pt idx="3">
                  <c:v>11100000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'Q2 analysis'!$A$6</c:f>
              <c:strCache>
                <c:ptCount val="1"/>
                <c:pt idx="0">
                  <c:v>North Central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analysis'!$B$6:$E$6</c:f>
              <c:numCache>
                <c:formatCode>General</c:formatCode>
                <c:ptCount val="4"/>
                <c:pt idx="0">
                  <c:v>3338000</c:v>
                </c:pt>
                <c:pt idx="1">
                  <c:v>4055000</c:v>
                </c:pt>
                <c:pt idx="2">
                  <c:v>4904825</c:v>
                </c:pt>
                <c:pt idx="3">
                  <c:v>5930000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'Q2 analysis'!$A$7</c:f>
              <c:strCache>
                <c:ptCount val="1"/>
                <c:pt idx="0">
                  <c:v>South 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216107189165826"/>
                  <c:y val="-0.02331606217616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3626943005181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analysis'!$B$7:$E$7</c:f>
              <c:numCache>
                <c:formatCode>General</c:formatCode>
                <c:ptCount val="4"/>
                <c:pt idx="0">
                  <c:v>716000</c:v>
                </c:pt>
                <c:pt idx="1">
                  <c:v>972000</c:v>
                </c:pt>
                <c:pt idx="2">
                  <c:v>1321000</c:v>
                </c:pt>
                <c:pt idx="3">
                  <c:v>1682000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'Q2 analysis'!$A$8</c:f>
              <c:strCache>
                <c:ptCount val="1"/>
                <c:pt idx="0">
                  <c:v>South South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0"/>
                  <c:y val="0.0284974093264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analysis'!$B$8:$E$8</c:f>
              <c:numCache>
                <c:formatCode>General</c:formatCode>
                <c:ptCount val="4"/>
                <c:pt idx="0">
                  <c:v>638000</c:v>
                </c:pt>
                <c:pt idx="1">
                  <c:v>853000</c:v>
                </c:pt>
                <c:pt idx="2">
                  <c:v>1140000</c:v>
                </c:pt>
                <c:pt idx="3">
                  <c:v>1426000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'Q2 analysis'!$A$9</c:f>
              <c:strCache>
                <c:ptCount val="1"/>
                <c:pt idx="0">
                  <c:v>South East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284974093264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02590673575129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1813471502590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216107189165826"/>
                  <c:y val="0.02590673575129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analysis'!$B$9:$E$9</c:f>
              <c:numCache>
                <c:formatCode>General</c:formatCode>
                <c:ptCount val="4"/>
                <c:pt idx="0">
                  <c:v>453000</c:v>
                </c:pt>
                <c:pt idx="1">
                  <c:v>603000</c:v>
                </c:pt>
                <c:pt idx="2">
                  <c:v>787000</c:v>
                </c:pt>
                <c:pt idx="3">
                  <c:v>981000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8913555"/>
        <c:axId val="1897807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analysis'!$A$3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('Q2 analysis'!$B$3,'Q2 analysis'!$C$3,'Q2 analysis'!$D$3,'Q2 analysis'!$E$3)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'Q2 analysis'!$B$3:$E$3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689135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780730"/>
        <c:crosses val="autoZero"/>
        <c:auto val="1"/>
        <c:lblAlgn val="ctr"/>
        <c:lblOffset val="100"/>
        <c:noMultiLvlLbl val="0"/>
      </c:catAx>
      <c:valAx>
        <c:axId val="189780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913555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Food Insecurity by Primary Driver (2025)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'Q3 analysis'!$G$3</c:f>
              <c:strCache>
                <c:ptCount val="1"/>
                <c:pt idx="0">
                  <c:v>Population Affected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92000">
                      <a:srgbClr val="2E95B6">
                        <a:alpha val="100000"/>
                      </a:srgbClr>
                    </a:gs>
                    <a:gs pos="92000">
                      <a:srgbClr val="2E95B6">
                        <a:alpha val="100000"/>
                      </a:srgb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 analysis'!$F$4:$F$7</c:f>
              <c:strCache>
                <c:ptCount val="4"/>
                <c:pt idx="0">
                  <c:v>Conflict (all types)</c:v>
                </c:pt>
                <c:pt idx="1">
                  <c:v>Inflation (all types)</c:v>
                </c:pt>
                <c:pt idx="2">
                  <c:v>Flooding (all types</c:v>
                </c:pt>
                <c:pt idx="3">
                  <c:v>Drought (all types)</c:v>
                </c:pt>
              </c:strCache>
            </c:strRef>
          </c:cat>
          <c:val>
            <c:numRef>
              <c:f>'Q3 analysis'!$G$4:$G$7</c:f>
              <c:numCache>
                <c:formatCode>General</c:formatCode>
                <c:ptCount val="4"/>
                <c:pt idx="0">
                  <c:v>16025000</c:v>
                </c:pt>
                <c:pt idx="1">
                  <c:v>5644000</c:v>
                </c:pt>
                <c:pt idx="2">
                  <c:v>2520000</c:v>
                </c:pt>
                <c:pt idx="3">
                  <c:v>2240000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94698251551"/>
          <c:y val="0.137219324109775"/>
          <c:w val="0.63663282571912"/>
          <c:h val="0.10773418008618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40000"/>
            <a:lumOff val="60000"/>
          </a:schemeClr>
        </a:gs>
        <a:gs pos="90000">
          <a:schemeClr val="accent1"/>
        </a:gs>
      </a:gsLst>
      <a:lin ang="108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Top 10 States by Child Malnutrition (Under 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gradFill>
                <a:gsLst>
                  <a:gs pos="82000">
                    <a:srgbClr val="975A5B">
                      <a:alpha val="100000"/>
                    </a:srgbClr>
                  </a:gs>
                  <a:gs pos="100000">
                    <a:srgbClr val="FF0000"/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 analysis'!$G$4:$G$13</c:f>
              <c:strCache>
                <c:ptCount val="10"/>
                <c:pt idx="0">
                  <c:v>Borno</c:v>
                </c:pt>
                <c:pt idx="1">
                  <c:v>Zamfara</c:v>
                </c:pt>
                <c:pt idx="2">
                  <c:v>Katsina</c:v>
                </c:pt>
                <c:pt idx="3">
                  <c:v>Kaduna</c:v>
                </c:pt>
                <c:pt idx="4">
                  <c:v>Kano</c:v>
                </c:pt>
                <c:pt idx="5">
                  <c:v>Yobe</c:v>
                </c:pt>
                <c:pt idx="6">
                  <c:v>Sokoto</c:v>
                </c:pt>
                <c:pt idx="7">
                  <c:v>Adamawa</c:v>
                </c:pt>
                <c:pt idx="8">
                  <c:v>Niger</c:v>
                </c:pt>
                <c:pt idx="9">
                  <c:v>Benue</c:v>
                </c:pt>
              </c:strCache>
            </c:strRef>
          </c:cat>
          <c:val>
            <c:numRef>
              <c:f>'Q4 analysis'!$H$4:$H$13</c:f>
              <c:numCache>
                <c:formatCode>General</c:formatCode>
                <c:ptCount val="10"/>
                <c:pt idx="0">
                  <c:v>890000</c:v>
                </c:pt>
                <c:pt idx="1">
                  <c:v>720000</c:v>
                </c:pt>
                <c:pt idx="2">
                  <c:v>680000</c:v>
                </c:pt>
                <c:pt idx="3">
                  <c:v>620000</c:v>
                </c:pt>
                <c:pt idx="4">
                  <c:v>590000</c:v>
                </c:pt>
                <c:pt idx="5">
                  <c:v>580000</c:v>
                </c:pt>
                <c:pt idx="6">
                  <c:v>490000</c:v>
                </c:pt>
                <c:pt idx="7">
                  <c:v>470000</c:v>
                </c:pt>
                <c:pt idx="8">
                  <c:v>420000</c:v>
                </c:pt>
                <c:pt idx="9">
                  <c:v>380000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84656910"/>
        <c:axId val="422084191"/>
      </c:barChart>
      <c:catAx>
        <c:axId val="6846569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084191"/>
        <c:crosses val="autoZero"/>
        <c:auto val="1"/>
        <c:lblAlgn val="ctr"/>
        <c:lblOffset val="100"/>
        <c:noMultiLvlLbl val="0"/>
      </c:catAx>
      <c:valAx>
        <c:axId val="42208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569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1" u="none" strike="noStrike" kern="1200" baseline="0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r>
              <a:rPr sz="1600" i="1" u="none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</a:rPr>
              <a:t>Top States by Acute Food </a:t>
            </a:r>
            <a:endParaRPr sz="1600" i="1" u="none">
              <a:ln w="12700" cmpd="sng">
                <a:noFill/>
                <a:prstDash val="solid"/>
              </a:ln>
              <a:blipFill>
                <a:blip r:embed="rId1"/>
                <a:tile tx="0" ty="0" sx="100000" sy="100000" flip="none" algn="tl"/>
              </a:blipFill>
            </a:endParaRPr>
          </a:p>
          <a:p>
            <a:pPr defTabSz="914400">
              <a:defRPr lang="en-US" sz="1600" b="1" i="1" u="none" strike="noStrike" kern="1200" baseline="0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r>
              <a:rPr sz="1600" i="1" u="none">
                <a:ln w="12700" cmpd="sng">
                  <a:noFill/>
                  <a:prstDash val="solid"/>
                </a:ln>
                <a:blipFill>
                  <a:blip r:embed="rId1"/>
                  <a:tile tx="0" ty="0" sx="100000" sy="100000" flip="none" algn="tl"/>
                </a:blipFill>
              </a:rPr>
              <a:t>Insecurity 2025</a:t>
            </a:r>
            <a:endParaRPr sz="1600" i="1" u="none">
              <a:ln w="12700" cmpd="sng">
                <a:noFill/>
                <a:prstDash val="solid"/>
              </a:ln>
              <a:blipFill>
                <a:blip r:embed="rId1"/>
                <a:tile tx="0" ty="0" sx="100000" sy="100000" flip="none" algn="tl"/>
              </a:blipFill>
            </a:endParaRPr>
          </a:p>
        </c:rich>
      </c:tx>
      <c:layout>
        <c:manualLayout>
          <c:xMode val="edge"/>
          <c:yMode val="edge"/>
          <c:x val="0.373418818229076"/>
          <c:y val="0.7108859459218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368566685113"/>
          <c:y val="0.00547845142439737"/>
          <c:w val="0.832374100719424"/>
          <c:h val="0.989043097151205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'Q1 analysis '!$D$3</c:f>
              <c:strCache>
                <c:ptCount val="1"/>
                <c:pt idx="0">
                  <c:v>Food Insecure population (2025)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5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9"/>
            <c:invertIfNegative val="0"/>
            <c:bubble3D val="0"/>
            <c:spPr>
              <a:solidFill>
                <a:srgbClr val="FFFF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1"/>
            <c:invertIfNegative val="0"/>
            <c:bubble3D val="0"/>
            <c:spPr>
              <a:solidFill>
                <a:srgbClr val="FFFF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2"/>
            <c:invertIfNegative val="0"/>
            <c:bubble3D val="0"/>
            <c:spPr>
              <a:solidFill>
                <a:srgbClr val="FFFF00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10800000" scaled="0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 analysis '!$B:$B</c15:sqref>
                  </c15:fullRef>
                </c:ext>
              </c:extLst>
              <c:f>'Q1 analysis '!$B$4:$B$1048576</c:f>
              <c:strCache>
                <c:ptCount val="1048573"/>
                <c:pt idx="0">
                  <c:v>Borno</c:v>
                </c:pt>
                <c:pt idx="1">
                  <c:v>Kaduna</c:v>
                </c:pt>
                <c:pt idx="2">
                  <c:v>Kano</c:v>
                </c:pt>
                <c:pt idx="3">
                  <c:v>Katsina</c:v>
                </c:pt>
                <c:pt idx="4">
                  <c:v>Zamfara</c:v>
                </c:pt>
                <c:pt idx="5">
                  <c:v>Yobe</c:v>
                </c:pt>
                <c:pt idx="6">
                  <c:v>Niger</c:v>
                </c:pt>
                <c:pt idx="7">
                  <c:v>Benue</c:v>
                </c:pt>
                <c:pt idx="8">
                  <c:v>Adamawa</c:v>
                </c:pt>
                <c:pt idx="9">
                  <c:v>Sokoto</c:v>
                </c:pt>
                <c:pt idx="10">
                  <c:v>Jigawa</c:v>
                </c:pt>
                <c:pt idx="11">
                  <c:v>Bauchi</c:v>
                </c:pt>
                <c:pt idx="12">
                  <c:v>Gombe</c:v>
                </c:pt>
                <c:pt idx="13">
                  <c:v>Kebbi</c:v>
                </c:pt>
                <c:pt idx="14">
                  <c:v>Taraba</c:v>
                </c:pt>
                <c:pt idx="15">
                  <c:v>Plateau</c:v>
                </c:pt>
                <c:pt idx="16">
                  <c:v>Nasarawa</c:v>
                </c:pt>
                <c:pt idx="17">
                  <c:v>Kogi</c:v>
                </c:pt>
                <c:pt idx="18">
                  <c:v>Kwara</c:v>
                </c:pt>
                <c:pt idx="19">
                  <c:v>Lagos</c:v>
                </c:pt>
                <c:pt idx="20">
                  <c:v>FCT</c:v>
                </c:pt>
                <c:pt idx="21">
                  <c:v>Rivers</c:v>
                </c:pt>
                <c:pt idx="22">
                  <c:v>Oyo</c:v>
                </c:pt>
                <c:pt idx="23">
                  <c:v>Ogun</c:v>
                </c:pt>
                <c:pt idx="24">
                  <c:v>Cross River</c:v>
                </c:pt>
                <c:pt idx="25">
                  <c:v>Delta</c:v>
                </c:pt>
                <c:pt idx="26">
                  <c:v>Anambra</c:v>
                </c:pt>
                <c:pt idx="27">
                  <c:v>Edo</c:v>
                </c:pt>
                <c:pt idx="28">
                  <c:v>Akwa Ibom</c:v>
                </c:pt>
                <c:pt idx="29">
                  <c:v>Enugu</c:v>
                </c:pt>
                <c:pt idx="30">
                  <c:v>Osun</c:v>
                </c:pt>
                <c:pt idx="31">
                  <c:v>Imo</c:v>
                </c:pt>
                <c:pt idx="32">
                  <c:v>Ebonyi</c:v>
                </c:pt>
                <c:pt idx="33">
                  <c:v>Abia</c:v>
                </c:pt>
                <c:pt idx="34">
                  <c:v>Bayelsa</c:v>
                </c:pt>
                <c:pt idx="35">
                  <c:v>Ekiti</c:v>
                </c:pt>
                <c:pt idx="37">
                  <c:v>29529000</c:v>
                </c:pt>
                <c:pt idx="38">
                  <c:v>25440000</c:v>
                </c:pt>
                <c:pt idx="39">
                  <c:v>4089000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 analysis '!$D$4:$D$39</c15:sqref>
                  </c15:fullRef>
                </c:ext>
              </c:extLst>
              <c:f>'Q1 analysis '!$D$7:$D$39</c:f>
              <c:numCache>
                <c:formatCode>General</c:formatCode>
                <c:ptCount val="33"/>
                <c:pt idx="0">
                  <c:v>1880000</c:v>
                </c:pt>
                <c:pt idx="1">
                  <c:v>1840000</c:v>
                </c:pt>
                <c:pt idx="2">
                  <c:v>1650000</c:v>
                </c:pt>
                <c:pt idx="3">
                  <c:v>1640000</c:v>
                </c:pt>
                <c:pt idx="4">
                  <c:v>1420000</c:v>
                </c:pt>
                <c:pt idx="5">
                  <c:v>1390000</c:v>
                </c:pt>
                <c:pt idx="6">
                  <c:v>1350000</c:v>
                </c:pt>
                <c:pt idx="7">
                  <c:v>1150000</c:v>
                </c:pt>
                <c:pt idx="8">
                  <c:v>1050000</c:v>
                </c:pt>
                <c:pt idx="9">
                  <c:v>890000</c:v>
                </c:pt>
                <c:pt idx="10">
                  <c:v>880000</c:v>
                </c:pt>
                <c:pt idx="11">
                  <c:v>820000</c:v>
                </c:pt>
                <c:pt idx="12">
                  <c:v>680000</c:v>
                </c:pt>
                <c:pt idx="13">
                  <c:v>635000</c:v>
                </c:pt>
                <c:pt idx="14">
                  <c:v>610000</c:v>
                </c:pt>
                <c:pt idx="15">
                  <c:v>555000</c:v>
                </c:pt>
                <c:pt idx="16">
                  <c:v>510000</c:v>
                </c:pt>
                <c:pt idx="17">
                  <c:v>390000</c:v>
                </c:pt>
                <c:pt idx="18">
                  <c:v>370000</c:v>
                </c:pt>
                <c:pt idx="19">
                  <c:v>325000</c:v>
                </c:pt>
                <c:pt idx="20">
                  <c:v>282000</c:v>
                </c:pt>
                <c:pt idx="21">
                  <c:v>245000</c:v>
                </c:pt>
                <c:pt idx="22">
                  <c:v>228000</c:v>
                </c:pt>
                <c:pt idx="23">
                  <c:v>215000</c:v>
                </c:pt>
                <c:pt idx="24">
                  <c:v>210000</c:v>
                </c:pt>
                <c:pt idx="25">
                  <c:v>205000</c:v>
                </c:pt>
                <c:pt idx="26">
                  <c:v>200000</c:v>
                </c:pt>
                <c:pt idx="27">
                  <c:v>195000</c:v>
                </c:pt>
                <c:pt idx="28">
                  <c:v>194000</c:v>
                </c:pt>
                <c:pt idx="29">
                  <c:v>192000</c:v>
                </c:pt>
                <c:pt idx="30">
                  <c:v>180000</c:v>
                </c:pt>
                <c:pt idx="31">
                  <c:v>168000</c:v>
                </c:pt>
                <c:pt idx="32">
                  <c:v>160000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3074440"/>
        <c:axId val="674095752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'Q1 analysis '!$E$3</c15:sqref>
                        </c15:formulaRef>
                      </c:ext>
                    </c:extLst>
                    <c:strCache>
                      <c:ptCount val="1"/>
                      <c:pt idx="0">
                        <c:v>% of Total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>
                          <a:lumMod val="40000"/>
                          <a:lumOff val="60000"/>
                        </a:schemeClr>
                      </a:gs>
                      <a:gs pos="90000">
                        <a:schemeClr val="accent3"/>
                      </a:gs>
                    </a:gsLst>
                    <a:lin ang="10800000" scaled="0"/>
                  </a:gradFill>
                  <a:ln>
                    <a:gradFill>
                      <a:gsLst>
                        <a:gs pos="0">
                          <a:schemeClr val="accent3"/>
                        </a:gs>
                        <a:gs pos="100000">
                          <a:schemeClr val="accent3">
                            <a:lumMod val="75000"/>
                          </a:schemeClr>
                        </a:gs>
                      </a:gsLst>
                      <a:lin ang="10800000" scaled="0"/>
                    </a:gradFill>
                  </a:ln>
                  <a:effectLst>
                    <a:outerShdw blurRad="76200" dist="25400" dir="2700000" algn="tl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invertIfNegative val="0"/>
                <c:dLbls>
                  <c:dLbl>
                    <c:idx val="28"/>
                    <c:layout/>
                    <c:numFmt formatCode="General" sourceLinked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0" vertOverflow="ellipsis" vert="horz" wrap="square" lIns="38100" tIns="19050" rIns="38100" bIns="19050" anchor="ctr" anchorCtr="1"/>
                      <a:lstStyle/>
                      <a:p>
                        <a:pPr>
                          <a:defRPr lang="en-US" sz="1000" b="0" i="0" u="none" strike="noStrike" kern="1200" baseline="0">
                            <a:ln w="12700" cmpd="sng">
                              <a:noFill/>
                              <a:prstDash val="solid"/>
                            </a:ln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</c:extLst>
                  </c:dLbl>
                  <c:dLbl>
                    <c:idx val="32"/>
                    <c:layout/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layout>
                          <c:manualLayout>
                            <c:w val="0.065733843366217"/>
                            <c:h val="0.00769941484447182"/>
                          </c:manualLayout>
                        </c15:layout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ln w="12700" cmpd="sng">
                            <a:noFill/>
                            <a:prstDash val="solid"/>
                          </a:ln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'Q1 analysis '!$B:$B</c15:sqref>
                        </c15:fullRef>
                        <c15:formulaRef>
                          <c15:sqref>'Q1 analysis '!$B$4:$B$1048576</c15:sqref>
                        </c15:formulaRef>
                      </c:ext>
                    </c:extLst>
                    <c:strCache>
                      <c:ptCount val="1048573"/>
                      <c:pt idx="0">
                        <c:v>Borno</c:v>
                      </c:pt>
                      <c:pt idx="1">
                        <c:v>Kaduna</c:v>
                      </c:pt>
                      <c:pt idx="2">
                        <c:v>Kano</c:v>
                      </c:pt>
                      <c:pt idx="3">
                        <c:v>Katsina</c:v>
                      </c:pt>
                      <c:pt idx="4">
                        <c:v>Zamfara</c:v>
                      </c:pt>
                      <c:pt idx="5">
                        <c:v>Yobe</c:v>
                      </c:pt>
                      <c:pt idx="6">
                        <c:v>Niger</c:v>
                      </c:pt>
                      <c:pt idx="7">
                        <c:v>Benue</c:v>
                      </c:pt>
                      <c:pt idx="8">
                        <c:v>Adamawa</c:v>
                      </c:pt>
                      <c:pt idx="9">
                        <c:v>Sokoto</c:v>
                      </c:pt>
                      <c:pt idx="10">
                        <c:v>Jigawa</c:v>
                      </c:pt>
                      <c:pt idx="11">
                        <c:v>Bauchi</c:v>
                      </c:pt>
                      <c:pt idx="12">
                        <c:v>Gombe</c:v>
                      </c:pt>
                      <c:pt idx="13">
                        <c:v>Kebbi</c:v>
                      </c:pt>
                      <c:pt idx="14">
                        <c:v>Taraba</c:v>
                      </c:pt>
                      <c:pt idx="15">
                        <c:v>Plateau</c:v>
                      </c:pt>
                      <c:pt idx="16">
                        <c:v>Nasarawa</c:v>
                      </c:pt>
                      <c:pt idx="17">
                        <c:v>Kogi</c:v>
                      </c:pt>
                      <c:pt idx="18">
                        <c:v>Kwara</c:v>
                      </c:pt>
                      <c:pt idx="19">
                        <c:v>Lagos</c:v>
                      </c:pt>
                      <c:pt idx="20">
                        <c:v>FCT</c:v>
                      </c:pt>
                      <c:pt idx="21">
                        <c:v>Rivers</c:v>
                      </c:pt>
                      <c:pt idx="22">
                        <c:v>Oyo</c:v>
                      </c:pt>
                      <c:pt idx="23">
                        <c:v>Ogun</c:v>
                      </c:pt>
                      <c:pt idx="24">
                        <c:v>Cross River</c:v>
                      </c:pt>
                      <c:pt idx="25">
                        <c:v>Delta</c:v>
                      </c:pt>
                      <c:pt idx="26">
                        <c:v>Anambra</c:v>
                      </c:pt>
                      <c:pt idx="27">
                        <c:v>Edo</c:v>
                      </c:pt>
                      <c:pt idx="28">
                        <c:v>Akwa Ibom</c:v>
                      </c:pt>
                      <c:pt idx="29">
                        <c:v>Enugu</c:v>
                      </c:pt>
                      <c:pt idx="30">
                        <c:v>Osun</c:v>
                      </c:pt>
                      <c:pt idx="31">
                        <c:v>Imo</c:v>
                      </c:pt>
                      <c:pt idx="32">
                        <c:v>Ebonyi</c:v>
                      </c:pt>
                      <c:pt idx="33">
                        <c:v>Abia</c:v>
                      </c:pt>
                      <c:pt idx="34">
                        <c:v>Bayelsa</c:v>
                      </c:pt>
                      <c:pt idx="35">
                        <c:v>Ekiti</c:v>
                      </c:pt>
                      <c:pt idx="37">
                        <c:v>29529000</c:v>
                      </c:pt>
                      <c:pt idx="38">
                        <c:v>25440000</c:v>
                      </c:pt>
                      <c:pt idx="39">
                        <c:v>4089000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'Q1 analysis '!$E$4:$E$39</c15:sqref>
                        </c15:fullRef>
                        <c15:formulaRef>
                          <c15:sqref>'Q1 analysis '!$E$7:$E$39</c15:sqref>
                        </c15:formulaRef>
                      </c:ext>
                    </c:extLst>
                    <c:numCache>
                      <c:formatCode>0.0_);[Red]\(0.0\)</c:formatCode>
                      <c:ptCount val="33"/>
                      <c:pt idx="0">
                        <c:v>6.3666226421484</c:v>
                      </c:pt>
                      <c:pt idx="1">
                        <c:v>6.23116258593247</c:v>
                      </c:pt>
                      <c:pt idx="2">
                        <c:v>5.58772731890684</c:v>
                      </c:pt>
                      <c:pt idx="3">
                        <c:v>5.55386230485286</c:v>
                      </c:pt>
                      <c:pt idx="4">
                        <c:v>4.80883199566528</c:v>
                      </c:pt>
                      <c:pt idx="5">
                        <c:v>4.70723695350333</c:v>
                      </c:pt>
                      <c:pt idx="6">
                        <c:v>4.57177689728741</c:v>
                      </c:pt>
                      <c:pt idx="7">
                        <c:v>3.8944766162078</c:v>
                      </c:pt>
                      <c:pt idx="8">
                        <c:v>3.55582647566799</c:v>
                      </c:pt>
                      <c:pt idx="9">
                        <c:v>3.01398625080429</c:v>
                      </c:pt>
                      <c:pt idx="10">
                        <c:v>2.98012123675031</c:v>
                      </c:pt>
                      <c:pt idx="11">
                        <c:v>2.77693115242643</c:v>
                      </c:pt>
                      <c:pt idx="12">
                        <c:v>2.3028209556707</c:v>
                      </c:pt>
                      <c:pt idx="13">
                        <c:v>2.15042839242778</c:v>
                      </c:pt>
                      <c:pt idx="14">
                        <c:v>2.06576585729283</c:v>
                      </c:pt>
                      <c:pt idx="15">
                        <c:v>1.87950827999594</c:v>
                      </c:pt>
                      <c:pt idx="16">
                        <c:v>1.72711571675302</c:v>
                      </c:pt>
                      <c:pt idx="17">
                        <c:v>1.32073554810525</c:v>
                      </c:pt>
                      <c:pt idx="18">
                        <c:v>1.25300551999729</c:v>
                      </c:pt>
                      <c:pt idx="19">
                        <c:v>1.10061295675438</c:v>
                      </c:pt>
                      <c:pt idx="20">
                        <c:v>0.95499339632226</c:v>
                      </c:pt>
                      <c:pt idx="21">
                        <c:v>0.82969284432253</c:v>
                      </c:pt>
                      <c:pt idx="22">
                        <c:v>0.772122320430763</c:v>
                      </c:pt>
                      <c:pt idx="23">
                        <c:v>0.728097802160588</c:v>
                      </c:pt>
                      <c:pt idx="24">
                        <c:v>0.711165295133597</c:v>
                      </c:pt>
                      <c:pt idx="25">
                        <c:v>0.694232788106607</c:v>
                      </c:pt>
                      <c:pt idx="26">
                        <c:v>0.677300281079617</c:v>
                      </c:pt>
                      <c:pt idx="27">
                        <c:v>0.660367774052626</c:v>
                      </c:pt>
                      <c:pt idx="28">
                        <c:v>0.656981272647228</c:v>
                      </c:pt>
                      <c:pt idx="29">
                        <c:v>0.650208269836432</c:v>
                      </c:pt>
                      <c:pt idx="30">
                        <c:v>0.609570252971655</c:v>
                      </c:pt>
                      <c:pt idx="31">
                        <c:v>0.568932236106878</c:v>
                      </c:pt>
                      <c:pt idx="32">
                        <c:v>0.541840224863693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77307444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4095752"/>
        <c:crosses val="autoZero"/>
        <c:auto val="1"/>
        <c:lblAlgn val="ctr"/>
        <c:lblOffset val="100"/>
        <c:noMultiLvlLbl val="0"/>
      </c:catAx>
      <c:valAx>
        <c:axId val="67409575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0744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15df66-4ece-4444-9371-868a1be7ace9}"/>
      </c:ext>
    </c:extLst>
  </c:chart>
  <c:spPr>
    <a:gradFill flip="none">
      <a:gsLst>
        <a:gs pos="39000">
          <a:srgbClr val="C2DAF0">
            <a:alpha val="100000"/>
          </a:srgbClr>
        </a:gs>
        <a:gs pos="51000">
          <a:srgbClr val="BED7EF">
            <a:alpha val="100000"/>
          </a:srgbClr>
        </a:gs>
        <a:gs pos="23000">
          <a:srgbClr val="C6DCF1">
            <a:alpha val="100000"/>
          </a:srgbClr>
        </a:gs>
        <a:gs pos="17000">
          <a:srgbClr val="D6E6F5">
            <a:alpha val="100000"/>
          </a:srgbClr>
        </a:gs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12700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glow rad="101600">
        <a:schemeClr val="accent5">
          <a:satMod val="175000"/>
          <a:alpha val="40000"/>
        </a:schemeClr>
      </a:glow>
      <a:softEdge rad="63500"/>
    </a:effectLst>
  </c:spPr>
  <c:txPr>
    <a:bodyPr/>
    <a:lstStyle/>
    <a:p>
      <a:pPr>
        <a:defRPr lang="en-US">
          <a:ln w="12700" cmpd="sng">
            <a:noFill/>
            <a:prstDash val="solid"/>
          </a:ln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Food Insecurity Trend by Region (2022–2025)</a:t>
            </a:r>
          </a:p>
        </c:rich>
      </c:tx>
      <c:layout/>
      <c:overlay val="0"/>
      <c:spPr>
        <a:gradFill>
          <a:gsLst>
            <a:gs pos="0">
              <a:schemeClr val="accent1">
                <a:lumMod val="40000"/>
                <a:lumOff val="60000"/>
              </a:schemeClr>
            </a:gs>
            <a:gs pos="90000">
              <a:schemeClr val="accent1"/>
            </a:gs>
          </a:gsLst>
          <a:lin ang="10800000" scaled="0"/>
        </a:gra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'Q2 analysis'!$A$4</c:f>
              <c:strCache>
                <c:ptCount val="1"/>
                <c:pt idx="0">
                  <c:v>North East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analysis'!$B$4:$E$4</c:f>
              <c:numCache>
                <c:formatCode>General</c:formatCode>
                <c:ptCount val="4"/>
                <c:pt idx="0">
                  <c:v>5005554</c:v>
                </c:pt>
                <c:pt idx="1">
                  <c:v>5930000</c:v>
                </c:pt>
                <c:pt idx="2">
                  <c:v>6673738</c:v>
                </c:pt>
                <c:pt idx="3">
                  <c:v>8410000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'Q2 analysis'!$A$5</c:f>
              <c:strCache>
                <c:ptCount val="1"/>
                <c:pt idx="0">
                  <c:v>North 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analysis'!$B$5:$E$5</c:f>
              <c:numCache>
                <c:formatCode>General</c:formatCode>
                <c:ptCount val="4"/>
                <c:pt idx="0">
                  <c:v>7080000</c:v>
                </c:pt>
                <c:pt idx="1">
                  <c:v>8220000</c:v>
                </c:pt>
                <c:pt idx="2">
                  <c:v>9413994</c:v>
                </c:pt>
                <c:pt idx="3">
                  <c:v>11100000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'Q2 analysis'!$A$6</c:f>
              <c:strCache>
                <c:ptCount val="1"/>
                <c:pt idx="0">
                  <c:v>North Central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analysis'!$B$6:$E$6</c:f>
              <c:numCache>
                <c:formatCode>General</c:formatCode>
                <c:ptCount val="4"/>
                <c:pt idx="0">
                  <c:v>3338000</c:v>
                </c:pt>
                <c:pt idx="1">
                  <c:v>4055000</c:v>
                </c:pt>
                <c:pt idx="2">
                  <c:v>4904825</c:v>
                </c:pt>
                <c:pt idx="3">
                  <c:v>5930000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'Q2 analysis'!$A$7</c:f>
              <c:strCache>
                <c:ptCount val="1"/>
                <c:pt idx="0">
                  <c:v>South 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216107189165826"/>
                  <c:y val="-0.02331606217616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3626943005181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analysis'!$B$7:$E$7</c:f>
              <c:numCache>
                <c:formatCode>General</c:formatCode>
                <c:ptCount val="4"/>
                <c:pt idx="0">
                  <c:v>716000</c:v>
                </c:pt>
                <c:pt idx="1">
                  <c:v>972000</c:v>
                </c:pt>
                <c:pt idx="2">
                  <c:v>1321000</c:v>
                </c:pt>
                <c:pt idx="3">
                  <c:v>1682000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'Q2 analysis'!$A$8</c:f>
              <c:strCache>
                <c:ptCount val="1"/>
                <c:pt idx="0">
                  <c:v>South South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"/>
                  <c:y val="0.0284974093264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analysis'!$B$8:$E$8</c:f>
              <c:numCache>
                <c:formatCode>General</c:formatCode>
                <c:ptCount val="4"/>
                <c:pt idx="0">
                  <c:v>638000</c:v>
                </c:pt>
                <c:pt idx="1">
                  <c:v>853000</c:v>
                </c:pt>
                <c:pt idx="2">
                  <c:v>1140000</c:v>
                </c:pt>
                <c:pt idx="3">
                  <c:v>1426000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'Q2 analysis'!$A$9</c:f>
              <c:strCache>
                <c:ptCount val="1"/>
                <c:pt idx="0">
                  <c:v>South East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284974093264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02590673575129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1813471502590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216107189165826"/>
                  <c:y val="0.02590673575129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('Q2 analysis'!$B$3,'Q2 analysis'!$C$3,'Q2 analysis'!$D$3,'Q2 analysis'!$E$3)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'Q2 analysis'!$B$9:$E$9</c:f>
              <c:numCache>
                <c:formatCode>General</c:formatCode>
                <c:ptCount val="4"/>
                <c:pt idx="0">
                  <c:v>453000</c:v>
                </c:pt>
                <c:pt idx="1">
                  <c:v>603000</c:v>
                </c:pt>
                <c:pt idx="2">
                  <c:v>787000</c:v>
                </c:pt>
                <c:pt idx="3">
                  <c:v>981000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8913555"/>
        <c:axId val="18978073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analysis'!$A$3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('Q2 analysis'!$B$3,'Q2 analysis'!$C$3,'Q2 analysis'!$D$3,'Q2 analysis'!$E$3)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{2022,2023,2024,2025}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689135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780730"/>
        <c:crosses val="autoZero"/>
        <c:auto val="1"/>
        <c:lblAlgn val="ctr"/>
        <c:lblOffset val="100"/>
        <c:noMultiLvlLbl val="0"/>
      </c:catAx>
      <c:valAx>
        <c:axId val="189780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91355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61c77e-f260-4ce0-a0e7-459094cc0541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Food Insecurity by Primary Driver (2025)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'Q3 analysis'!$G$3</c:f>
              <c:strCache>
                <c:ptCount val="1"/>
                <c:pt idx="0">
                  <c:v>Population Affected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92000">
                      <a:srgbClr val="2E95B6">
                        <a:alpha val="100000"/>
                      </a:srgbClr>
                    </a:gs>
                    <a:gs pos="92000">
                      <a:srgbClr val="2E95B6">
                        <a:alpha val="100000"/>
                      </a:srgb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 analysis'!$F$4:$F$7</c:f>
              <c:strCache>
                <c:ptCount val="4"/>
                <c:pt idx="0">
                  <c:v>Conflict (all types)</c:v>
                </c:pt>
                <c:pt idx="1">
                  <c:v>Inflation (all types)</c:v>
                </c:pt>
                <c:pt idx="2">
                  <c:v>Flooding (all types</c:v>
                </c:pt>
                <c:pt idx="3">
                  <c:v>Drought (all types)</c:v>
                </c:pt>
              </c:strCache>
            </c:strRef>
          </c:cat>
          <c:val>
            <c:numRef>
              <c:f>'Q3 analysis'!$G$4:$G$7</c:f>
              <c:numCache>
                <c:formatCode>General</c:formatCode>
                <c:ptCount val="4"/>
                <c:pt idx="0">
                  <c:v>16025000</c:v>
                </c:pt>
                <c:pt idx="1">
                  <c:v>5644000</c:v>
                </c:pt>
                <c:pt idx="2">
                  <c:v>2520000</c:v>
                </c:pt>
                <c:pt idx="3">
                  <c:v>2240000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94698251551"/>
          <c:y val="0.195291333401296"/>
          <c:w val="0.63663282571912"/>
          <c:h val="0.10773418008618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15cede-8229-4daf-bfe2-a19b8a14f5a7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Top 10 States by Child Malnutrition (Under 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gradFill>
                <a:gsLst>
                  <a:gs pos="82000">
                    <a:srgbClr val="975A5B">
                      <a:alpha val="100000"/>
                    </a:srgbClr>
                  </a:gs>
                  <a:gs pos="100000">
                    <a:srgbClr val="FF0000"/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 analysis'!$G$4:$G$13</c:f>
              <c:strCache>
                <c:ptCount val="10"/>
                <c:pt idx="0">
                  <c:v>Borno</c:v>
                </c:pt>
                <c:pt idx="1">
                  <c:v>Zamfara</c:v>
                </c:pt>
                <c:pt idx="2">
                  <c:v>Katsina</c:v>
                </c:pt>
                <c:pt idx="3">
                  <c:v>Kaduna</c:v>
                </c:pt>
                <c:pt idx="4">
                  <c:v>Kano</c:v>
                </c:pt>
                <c:pt idx="5">
                  <c:v>Yobe</c:v>
                </c:pt>
                <c:pt idx="6">
                  <c:v>Sokoto</c:v>
                </c:pt>
                <c:pt idx="7">
                  <c:v>Adamawa</c:v>
                </c:pt>
                <c:pt idx="8">
                  <c:v>Niger</c:v>
                </c:pt>
                <c:pt idx="9">
                  <c:v>Benue</c:v>
                </c:pt>
              </c:strCache>
            </c:strRef>
          </c:cat>
          <c:val>
            <c:numRef>
              <c:f>'Q4 analysis'!$H$4:$H$13</c:f>
              <c:numCache>
                <c:formatCode>General</c:formatCode>
                <c:ptCount val="10"/>
                <c:pt idx="0">
                  <c:v>890000</c:v>
                </c:pt>
                <c:pt idx="1">
                  <c:v>720000</c:v>
                </c:pt>
                <c:pt idx="2">
                  <c:v>680000</c:v>
                </c:pt>
                <c:pt idx="3">
                  <c:v>620000</c:v>
                </c:pt>
                <c:pt idx="4">
                  <c:v>590000</c:v>
                </c:pt>
                <c:pt idx="5">
                  <c:v>580000</c:v>
                </c:pt>
                <c:pt idx="6">
                  <c:v>490000</c:v>
                </c:pt>
                <c:pt idx="7">
                  <c:v>470000</c:v>
                </c:pt>
                <c:pt idx="8">
                  <c:v>420000</c:v>
                </c:pt>
                <c:pt idx="9">
                  <c:v>380000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84656910"/>
        <c:axId val="422084191"/>
      </c:barChart>
      <c:catAx>
        <c:axId val="68465691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084191"/>
        <c:crosses val="autoZero"/>
        <c:auto val="1"/>
        <c:lblAlgn val="ctr"/>
        <c:lblOffset val="100"/>
        <c:noMultiLvlLbl val="0"/>
      </c:catAx>
      <c:valAx>
        <c:axId val="4220841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569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68a8eae-357a-4dee-80a6-ba325a3a97bd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184785</xdr:colOff>
      <xdr:row>3</xdr:row>
      <xdr:rowOff>147955</xdr:rowOff>
    </xdr:from>
    <xdr:to>
      <xdr:col>14</xdr:col>
      <xdr:colOff>564515</xdr:colOff>
      <xdr:row>23</xdr:row>
      <xdr:rowOff>180340</xdr:rowOff>
    </xdr:to>
    <xdr:graphicFrame>
      <xdr:nvGraphicFramePr>
        <xdr:cNvPr id="7" name="Chart 6"/>
        <xdr:cNvGraphicFramePr/>
      </xdr:nvGraphicFramePr>
      <xdr:xfrm>
        <a:off x="6273800" y="767080"/>
        <a:ext cx="5866130" cy="3842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127000</xdr:colOff>
      <xdr:row>0</xdr:row>
      <xdr:rowOff>92075</xdr:rowOff>
    </xdr:from>
    <xdr:to>
      <xdr:col>14</xdr:col>
      <xdr:colOff>124460</xdr:colOff>
      <xdr:row>17</xdr:row>
      <xdr:rowOff>101600</xdr:rowOff>
    </xdr:to>
    <xdr:graphicFrame>
      <xdr:nvGraphicFramePr>
        <xdr:cNvPr id="3" name="Chart 2"/>
        <xdr:cNvGraphicFramePr/>
      </xdr:nvGraphicFramePr>
      <xdr:xfrm>
        <a:off x="5794375" y="92075"/>
        <a:ext cx="4264660" cy="3295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34925</xdr:colOff>
      <xdr:row>7</xdr:row>
      <xdr:rowOff>107950</xdr:rowOff>
    </xdr:from>
    <xdr:to>
      <xdr:col>9</xdr:col>
      <xdr:colOff>452120</xdr:colOff>
      <xdr:row>23</xdr:row>
      <xdr:rowOff>41275</xdr:rowOff>
    </xdr:to>
    <xdr:graphicFrame>
      <xdr:nvGraphicFramePr>
        <xdr:cNvPr id="5" name="Chart 4" descr="7b0a202020202263686172745265734964223a202234353338343530220a7d0a"/>
        <xdr:cNvGraphicFramePr/>
      </xdr:nvGraphicFramePr>
      <xdr:xfrm>
        <a:off x="5045075" y="1489075"/>
        <a:ext cx="4912995" cy="298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134620</xdr:colOff>
      <xdr:row>14</xdr:row>
      <xdr:rowOff>44450</xdr:rowOff>
    </xdr:from>
    <xdr:to>
      <xdr:col>11</xdr:col>
      <xdr:colOff>207645</xdr:colOff>
      <xdr:row>30</xdr:row>
      <xdr:rowOff>188595</xdr:rowOff>
    </xdr:to>
    <xdr:graphicFrame>
      <xdr:nvGraphicFramePr>
        <xdr:cNvPr id="2" name="Chart 1"/>
        <xdr:cNvGraphicFramePr/>
      </xdr:nvGraphicFramePr>
      <xdr:xfrm>
        <a:off x="6192520" y="2768600"/>
        <a:ext cx="4826000" cy="3192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8</xdr:row>
      <xdr:rowOff>69215</xdr:rowOff>
    </xdr:from>
    <xdr:to>
      <xdr:col>5</xdr:col>
      <xdr:colOff>1075055</xdr:colOff>
      <xdr:row>26</xdr:row>
      <xdr:rowOff>117475</xdr:rowOff>
    </xdr:to>
    <xdr:graphicFrame>
      <xdr:nvGraphicFramePr>
        <xdr:cNvPr id="2" name="Chart 1"/>
        <xdr:cNvGraphicFramePr/>
      </xdr:nvGraphicFramePr>
      <xdr:xfrm>
        <a:off x="9525" y="1812290"/>
        <a:ext cx="4592320" cy="3477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36830</xdr:colOff>
      <xdr:row>8</xdr:row>
      <xdr:rowOff>20955</xdr:rowOff>
    </xdr:from>
    <xdr:to>
      <xdr:col>13</xdr:col>
      <xdr:colOff>566420</xdr:colOff>
      <xdr:row>26</xdr:row>
      <xdr:rowOff>157480</xdr:rowOff>
    </xdr:to>
    <xdr:graphicFrame>
      <xdr:nvGraphicFramePr>
        <xdr:cNvPr id="3" name="Chart 2"/>
        <xdr:cNvGraphicFramePr/>
      </xdr:nvGraphicFramePr>
      <xdr:xfrm>
        <a:off x="4652010" y="1764030"/>
        <a:ext cx="5568950" cy="3565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26035</xdr:colOff>
      <xdr:row>28</xdr:row>
      <xdr:rowOff>12700</xdr:rowOff>
    </xdr:from>
    <xdr:to>
      <xdr:col>6</xdr:col>
      <xdr:colOff>24130</xdr:colOff>
      <xdr:row>44</xdr:row>
      <xdr:rowOff>141605</xdr:rowOff>
    </xdr:to>
    <xdr:graphicFrame>
      <xdr:nvGraphicFramePr>
        <xdr:cNvPr id="4" name="Chart 3" descr="7b0a202020202263686172745265734964223a202234353338343530220a7d0a"/>
        <xdr:cNvGraphicFramePr/>
      </xdr:nvGraphicFramePr>
      <xdr:xfrm>
        <a:off x="26035" y="5565775"/>
        <a:ext cx="4613275" cy="3176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10795</xdr:colOff>
      <xdr:row>27</xdr:row>
      <xdr:rowOff>172085</xdr:rowOff>
    </xdr:from>
    <xdr:to>
      <xdr:col>13</xdr:col>
      <xdr:colOff>568325</xdr:colOff>
      <xdr:row>44</xdr:row>
      <xdr:rowOff>130810</xdr:rowOff>
    </xdr:to>
    <xdr:graphicFrame>
      <xdr:nvGraphicFramePr>
        <xdr:cNvPr id="5" name="Chart 4"/>
        <xdr:cNvGraphicFramePr/>
      </xdr:nvGraphicFramePr>
      <xdr:xfrm>
        <a:off x="4625975" y="5534660"/>
        <a:ext cx="5596890" cy="3197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3:E39" totalsRowShown="0">
  <autoFilter xmlns:etc="http://www.wps.cn/officeDocument/2017/etCustomData" ref="A3:E39" etc:filterBottomFollowUsedRange="0"/>
  <tableColumns count="5">
    <tableColumn id="1" name="Rank"/>
    <tableColumn id="2" name="State">
      <calculatedColumnFormula array="1">INDEX(nigeria_food_insecurity_all_sta!A$2:A$38,MATCH(LARGE(nigeria_food_insecurity_all_sta!F$2:F$38,A4),nigeria_food_insecurity_all_sta!F$2:F$38,0))</calculatedColumnFormula>
    </tableColumn>
    <tableColumn id="3" name="Region">
      <calculatedColumnFormula array="1">INDEX(nigeria_food_insecurity_all_sta!B$2:B$38,MATCH(LARGE(nigeria_food_insecurity_all_sta!F$2:F$38,A4),nigeria_food_insecurity_all_sta!F$2:F$38,0))</calculatedColumnFormula>
    </tableColumn>
    <tableColumn id="4" name="Food Insecure population (2025)">
      <calculatedColumnFormula>LARGE(nigeria_food_insecurity_all_sta!F$2:F$38,A4)</calculatedColumnFormula>
    </tableColumn>
    <tableColumn id="5" name="% of Total" dataDxfId="0">
      <calculatedColumnFormula>D4/SUM(nigeria_food_insecurity_all_sta!F$2:F$38)*100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E42">
  <autoFilter xmlns:etc="http://www.wps.cn/officeDocument/2017/etCustomData" ref="A3:E42" etc:filterBottomFollowUsedRange="0"/>
  <tableColumns count="5">
    <tableColumn id="1" name="Rank" totalsRowLabel="Total"/>
    <tableColumn id="2" name="State"/>
    <tableColumn id="3" name="Region"/>
    <tableColumn id="4" name="Children Malnourished (Under 5)"/>
    <tableColumn id="5" name="% of Total Malnorished" totalsRowFunction="sum"/>
  </tableColumns>
  <tableStyleInfo name="TableStylePreset8_Accent4" showFirstColumn="1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zoomScale="60" zoomScaleNormal="60" zoomScaleSheetLayoutView="60" workbookViewId="0">
      <selection activeCell="I2" sqref="I2"/>
    </sheetView>
  </sheetViews>
  <sheetFormatPr defaultColWidth="10.2857142857143" defaultRowHeight="15"/>
  <cols>
    <col min="1" max="1" width="10.2857142857143" style="119"/>
    <col min="2" max="2" width="14" customWidth="1"/>
    <col min="3" max="3" width="47.6190476190476" customWidth="1"/>
    <col min="4" max="4" width="47.1428571428571" customWidth="1"/>
    <col min="5" max="5" width="47.6190476190476" customWidth="1"/>
    <col min="6" max="6" width="62.1428571428571" customWidth="1"/>
    <col min="7" max="7" width="27.1428571428571" customWidth="1"/>
    <col min="8" max="8" width="25.1428571428571" customWidth="1"/>
    <col min="9" max="9" width="46.1904761904762" customWidth="1"/>
    <col min="10" max="10" width="27.1428571428571" customWidth="1"/>
    <col min="11" max="11" width="12.8571428571429"/>
  </cols>
  <sheetData>
    <row r="1" s="118" customFormat="1" ht="23.25" spans="1:11">
      <c r="A1" s="120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0" t="s">
        <v>6</v>
      </c>
      <c r="H1" s="120" t="s">
        <v>7</v>
      </c>
      <c r="I1" s="120" t="s">
        <v>8</v>
      </c>
      <c r="J1" s="120" t="s">
        <v>9</v>
      </c>
      <c r="K1" s="121"/>
    </row>
    <row r="2" spans="1:11">
      <c r="A2" s="122" t="s">
        <v>10</v>
      </c>
      <c r="B2" s="123" t="s">
        <v>11</v>
      </c>
      <c r="C2" s="123">
        <v>85000</v>
      </c>
      <c r="D2" s="123">
        <v>110000</v>
      </c>
      <c r="E2" s="123">
        <v>145000</v>
      </c>
      <c r="F2" s="123">
        <v>180000</v>
      </c>
      <c r="G2" s="123" t="s">
        <v>12</v>
      </c>
      <c r="H2" s="123" t="s">
        <v>13</v>
      </c>
      <c r="I2" s="123">
        <v>42000</v>
      </c>
      <c r="J2" s="122" t="s">
        <v>14</v>
      </c>
      <c r="K2" s="124"/>
    </row>
    <row r="3" spans="1:11">
      <c r="A3" s="122" t="s">
        <v>15</v>
      </c>
      <c r="B3" s="123" t="s">
        <v>16</v>
      </c>
      <c r="C3" s="123">
        <v>820000</v>
      </c>
      <c r="D3" s="123">
        <v>980000</v>
      </c>
      <c r="E3" s="123">
        <v>1028251</v>
      </c>
      <c r="F3" s="123">
        <v>1390000</v>
      </c>
      <c r="G3" s="123" t="s">
        <v>17</v>
      </c>
      <c r="H3" s="123" t="s">
        <v>18</v>
      </c>
      <c r="I3" s="123">
        <v>470000</v>
      </c>
      <c r="J3" s="122" t="s">
        <v>19</v>
      </c>
      <c r="K3" s="124"/>
    </row>
    <row r="4" spans="1:11">
      <c r="A4" s="122" t="s">
        <v>20</v>
      </c>
      <c r="B4" s="123" t="s">
        <v>21</v>
      </c>
      <c r="C4" s="123">
        <v>95000</v>
      </c>
      <c r="D4" s="123">
        <v>125000</v>
      </c>
      <c r="E4" s="123">
        <v>165000</v>
      </c>
      <c r="F4" s="123">
        <v>205000</v>
      </c>
      <c r="G4" s="123" t="s">
        <v>12</v>
      </c>
      <c r="H4" s="123" t="s">
        <v>13</v>
      </c>
      <c r="I4" s="123">
        <v>48000</v>
      </c>
      <c r="J4" s="122" t="s">
        <v>22</v>
      </c>
      <c r="K4" s="124"/>
    </row>
    <row r="5" spans="1:11">
      <c r="A5" s="122" t="s">
        <v>23</v>
      </c>
      <c r="B5" s="123" t="s">
        <v>11</v>
      </c>
      <c r="C5" s="123">
        <v>100000</v>
      </c>
      <c r="D5" s="123">
        <v>135000</v>
      </c>
      <c r="E5" s="123">
        <v>172000</v>
      </c>
      <c r="F5" s="123">
        <v>215000</v>
      </c>
      <c r="G5" s="123" t="s">
        <v>12</v>
      </c>
      <c r="H5" s="123" t="s">
        <v>13</v>
      </c>
      <c r="I5" s="123">
        <v>52000</v>
      </c>
      <c r="J5" s="122" t="s">
        <v>22</v>
      </c>
      <c r="K5" s="124"/>
    </row>
    <row r="6" spans="1:11">
      <c r="A6" s="122" t="s">
        <v>24</v>
      </c>
      <c r="B6" s="123" t="s">
        <v>16</v>
      </c>
      <c r="C6" s="123">
        <v>610000</v>
      </c>
      <c r="D6" s="123">
        <v>740000</v>
      </c>
      <c r="E6" s="123">
        <v>890000</v>
      </c>
      <c r="F6" s="123">
        <v>1050000</v>
      </c>
      <c r="G6" s="123" t="s">
        <v>17</v>
      </c>
      <c r="H6" s="123" t="s">
        <v>25</v>
      </c>
      <c r="I6" s="123">
        <v>310000</v>
      </c>
      <c r="J6" s="122" t="s">
        <v>19</v>
      </c>
      <c r="K6" s="124"/>
    </row>
    <row r="7" spans="1:11">
      <c r="A7" s="122" t="s">
        <v>26</v>
      </c>
      <c r="B7" s="123" t="s">
        <v>21</v>
      </c>
      <c r="C7" s="123">
        <v>78000</v>
      </c>
      <c r="D7" s="123">
        <v>102000</v>
      </c>
      <c r="E7" s="123">
        <v>135000</v>
      </c>
      <c r="F7" s="123">
        <v>168000</v>
      </c>
      <c r="G7" s="123" t="s">
        <v>12</v>
      </c>
      <c r="H7" s="123" t="s">
        <v>13</v>
      </c>
      <c r="I7" s="123">
        <v>38000</v>
      </c>
      <c r="J7" s="122" t="s">
        <v>22</v>
      </c>
      <c r="K7" s="124"/>
    </row>
    <row r="8" spans="1:11">
      <c r="A8" s="122" t="s">
        <v>27</v>
      </c>
      <c r="B8" s="123" t="s">
        <v>28</v>
      </c>
      <c r="C8" s="123">
        <v>870000</v>
      </c>
      <c r="D8" s="123">
        <v>1050000</v>
      </c>
      <c r="E8" s="123">
        <v>1234975</v>
      </c>
      <c r="F8" s="123">
        <v>1420000</v>
      </c>
      <c r="G8" s="123" t="s">
        <v>17</v>
      </c>
      <c r="H8" s="123" t="s">
        <v>29</v>
      </c>
      <c r="I8" s="123">
        <v>380000</v>
      </c>
      <c r="J8" s="122" t="s">
        <v>19</v>
      </c>
      <c r="K8" s="124"/>
    </row>
    <row r="9" spans="1:11">
      <c r="A9" s="122" t="s">
        <v>30</v>
      </c>
      <c r="B9" s="123" t="s">
        <v>16</v>
      </c>
      <c r="C9" s="123">
        <v>1475554</v>
      </c>
      <c r="D9" s="123">
        <v>1720000</v>
      </c>
      <c r="E9" s="123">
        <v>2100000</v>
      </c>
      <c r="F9" s="123">
        <v>2610000</v>
      </c>
      <c r="G9" s="123" t="s">
        <v>31</v>
      </c>
      <c r="H9" s="123" t="s">
        <v>18</v>
      </c>
      <c r="I9" s="123">
        <v>890000</v>
      </c>
      <c r="J9" s="122" t="s">
        <v>19</v>
      </c>
      <c r="K9" s="124"/>
    </row>
    <row r="10" spans="1:11">
      <c r="A10" s="122" t="s">
        <v>32</v>
      </c>
      <c r="B10" s="123" t="s">
        <v>21</v>
      </c>
      <c r="C10" s="123">
        <v>110000</v>
      </c>
      <c r="D10" s="123">
        <v>148000</v>
      </c>
      <c r="E10" s="123">
        <v>195000</v>
      </c>
      <c r="F10" s="123">
        <v>245000</v>
      </c>
      <c r="G10" s="123" t="s">
        <v>12</v>
      </c>
      <c r="H10" s="123" t="s">
        <v>33</v>
      </c>
      <c r="I10" s="123">
        <v>58000</v>
      </c>
      <c r="J10" s="122" t="s">
        <v>19</v>
      </c>
      <c r="K10" s="124"/>
    </row>
    <row r="11" spans="1:11">
      <c r="A11" s="122" t="s">
        <v>34</v>
      </c>
      <c r="B11" s="123" t="s">
        <v>21</v>
      </c>
      <c r="C11" s="123">
        <v>102000</v>
      </c>
      <c r="D11" s="123">
        <v>138000</v>
      </c>
      <c r="E11" s="123">
        <v>182000</v>
      </c>
      <c r="F11" s="123">
        <v>228000</v>
      </c>
      <c r="G11" s="123" t="s">
        <v>12</v>
      </c>
      <c r="H11" s="123" t="s">
        <v>13</v>
      </c>
      <c r="I11" s="123">
        <v>55000</v>
      </c>
      <c r="J11" s="122" t="s">
        <v>22</v>
      </c>
      <c r="K11" s="124"/>
    </row>
    <row r="12" spans="1:11">
      <c r="A12" s="122" t="s">
        <v>35</v>
      </c>
      <c r="B12" s="123" t="s">
        <v>11</v>
      </c>
      <c r="C12" s="123">
        <v>88000</v>
      </c>
      <c r="D12" s="123">
        <v>118000</v>
      </c>
      <c r="E12" s="123">
        <v>155000</v>
      </c>
      <c r="F12" s="123">
        <v>192000</v>
      </c>
      <c r="G12" s="123" t="s">
        <v>12</v>
      </c>
      <c r="H12" s="123" t="s">
        <v>13</v>
      </c>
      <c r="I12" s="123">
        <v>45000</v>
      </c>
      <c r="J12" s="122" t="s">
        <v>22</v>
      </c>
      <c r="K12" s="124"/>
    </row>
    <row r="13" spans="1:11">
      <c r="A13" s="122" t="s">
        <v>36</v>
      </c>
      <c r="B13" s="123" t="s">
        <v>21</v>
      </c>
      <c r="C13" s="123">
        <v>95000</v>
      </c>
      <c r="D13" s="123">
        <v>128000</v>
      </c>
      <c r="E13" s="123">
        <v>168000</v>
      </c>
      <c r="F13" s="123">
        <v>210000</v>
      </c>
      <c r="G13" s="123" t="s">
        <v>12</v>
      </c>
      <c r="H13" s="123" t="s">
        <v>13</v>
      </c>
      <c r="I13" s="123">
        <v>50000</v>
      </c>
      <c r="J13" s="122" t="s">
        <v>19</v>
      </c>
      <c r="K13" s="124"/>
    </row>
    <row r="14" spans="1:11">
      <c r="A14" s="122" t="s">
        <v>37</v>
      </c>
      <c r="B14" s="123" t="s">
        <v>38</v>
      </c>
      <c r="C14" s="123">
        <v>72000</v>
      </c>
      <c r="D14" s="123">
        <v>98000</v>
      </c>
      <c r="E14" s="123">
        <v>128000</v>
      </c>
      <c r="F14" s="123">
        <v>160000</v>
      </c>
      <c r="G14" s="123" t="s">
        <v>12</v>
      </c>
      <c r="H14" s="123" t="s">
        <v>13</v>
      </c>
      <c r="I14" s="123">
        <v>38000</v>
      </c>
      <c r="J14" s="122" t="s">
        <v>22</v>
      </c>
      <c r="K14" s="124"/>
    </row>
    <row r="15" spans="1:11">
      <c r="A15" s="122" t="s">
        <v>39</v>
      </c>
      <c r="B15" s="123" t="s">
        <v>11</v>
      </c>
      <c r="C15" s="123">
        <v>92000</v>
      </c>
      <c r="D15" s="123">
        <v>122000</v>
      </c>
      <c r="E15" s="123">
        <v>160000</v>
      </c>
      <c r="F15" s="123">
        <v>200000</v>
      </c>
      <c r="G15" s="123" t="s">
        <v>12</v>
      </c>
      <c r="H15" s="123" t="s">
        <v>13</v>
      </c>
      <c r="I15" s="123">
        <v>48000</v>
      </c>
      <c r="J15" s="122" t="s">
        <v>19</v>
      </c>
      <c r="K15" s="124"/>
    </row>
    <row r="16" spans="1:11">
      <c r="A16" s="122" t="s">
        <v>40</v>
      </c>
      <c r="B16" s="123" t="s">
        <v>28</v>
      </c>
      <c r="C16" s="123">
        <v>148000</v>
      </c>
      <c r="D16" s="123">
        <v>195000</v>
      </c>
      <c r="E16" s="123">
        <v>280000</v>
      </c>
      <c r="F16" s="123">
        <v>390000</v>
      </c>
      <c r="G16" s="123" t="s">
        <v>12</v>
      </c>
      <c r="H16" s="123" t="s">
        <v>13</v>
      </c>
      <c r="I16" s="123">
        <v>95000</v>
      </c>
      <c r="J16" s="122" t="s">
        <v>19</v>
      </c>
      <c r="K16" s="124"/>
    </row>
    <row r="17" spans="1:11">
      <c r="A17" s="122" t="s">
        <v>41</v>
      </c>
      <c r="B17" s="123" t="s">
        <v>16</v>
      </c>
      <c r="C17" s="123">
        <v>520000</v>
      </c>
      <c r="D17" s="123">
        <v>630000</v>
      </c>
      <c r="E17" s="123">
        <v>758000</v>
      </c>
      <c r="F17" s="123">
        <v>890000</v>
      </c>
      <c r="G17" s="123" t="s">
        <v>17</v>
      </c>
      <c r="H17" s="123" t="s">
        <v>42</v>
      </c>
      <c r="I17" s="123">
        <v>240000</v>
      </c>
      <c r="J17" s="122" t="s">
        <v>19</v>
      </c>
      <c r="K17" s="124"/>
    </row>
    <row r="18" spans="1:11">
      <c r="A18" s="122" t="s">
        <v>43</v>
      </c>
      <c r="B18" s="123" t="s">
        <v>11</v>
      </c>
      <c r="C18" s="123">
        <v>88000</v>
      </c>
      <c r="D18" s="123">
        <v>118000</v>
      </c>
      <c r="E18" s="123">
        <v>155000</v>
      </c>
      <c r="F18" s="123">
        <v>194000</v>
      </c>
      <c r="G18" s="123" t="s">
        <v>12</v>
      </c>
      <c r="H18" s="123" t="s">
        <v>13</v>
      </c>
      <c r="I18" s="123">
        <v>46000</v>
      </c>
      <c r="J18" s="122" t="s">
        <v>22</v>
      </c>
      <c r="K18" s="124"/>
    </row>
    <row r="19" spans="1:11">
      <c r="A19" s="122" t="s">
        <v>44</v>
      </c>
      <c r="B19" s="123" t="s">
        <v>45</v>
      </c>
      <c r="C19" s="123">
        <v>680000</v>
      </c>
      <c r="D19" s="123">
        <v>820000</v>
      </c>
      <c r="E19" s="123">
        <v>980000</v>
      </c>
      <c r="F19" s="123">
        <v>1150000</v>
      </c>
      <c r="G19" s="123" t="s">
        <v>17</v>
      </c>
      <c r="H19" s="123" t="s">
        <v>46</v>
      </c>
      <c r="I19" s="123">
        <v>310000</v>
      </c>
      <c r="J19" s="122" t="s">
        <v>19</v>
      </c>
      <c r="K19" s="124"/>
    </row>
    <row r="20" spans="1:11">
      <c r="A20" s="122" t="s">
        <v>47</v>
      </c>
      <c r="B20" s="123" t="s">
        <v>45</v>
      </c>
      <c r="C20" s="123">
        <v>1400000</v>
      </c>
      <c r="D20" s="123">
        <v>1580000</v>
      </c>
      <c r="E20" s="123">
        <v>1735158</v>
      </c>
      <c r="F20" s="123">
        <v>2050000</v>
      </c>
      <c r="G20" s="123" t="s">
        <v>17</v>
      </c>
      <c r="H20" s="123" t="s">
        <v>48</v>
      </c>
      <c r="I20" s="123">
        <v>620000</v>
      </c>
      <c r="J20" s="122" t="s">
        <v>19</v>
      </c>
      <c r="K20" s="124"/>
    </row>
    <row r="21" spans="1:11">
      <c r="A21" s="122" t="s">
        <v>49</v>
      </c>
      <c r="B21" s="123" t="s">
        <v>45</v>
      </c>
      <c r="C21" s="123">
        <v>1300000</v>
      </c>
      <c r="D21" s="123">
        <v>1480000</v>
      </c>
      <c r="E21" s="123">
        <v>1670048</v>
      </c>
      <c r="F21" s="123">
        <v>1950000</v>
      </c>
      <c r="G21" s="123" t="s">
        <v>17</v>
      </c>
      <c r="H21" s="123" t="s">
        <v>50</v>
      </c>
      <c r="I21" s="123">
        <v>590000</v>
      </c>
      <c r="J21" s="122" t="s">
        <v>19</v>
      </c>
      <c r="K21" s="124"/>
    </row>
    <row r="22" spans="1:11">
      <c r="A22" s="122" t="s">
        <v>51</v>
      </c>
      <c r="B22" s="123" t="s">
        <v>45</v>
      </c>
      <c r="C22" s="123">
        <v>1200000</v>
      </c>
      <c r="D22" s="123">
        <v>1390000</v>
      </c>
      <c r="E22" s="123">
        <v>1594316</v>
      </c>
      <c r="F22" s="123">
        <v>1880000</v>
      </c>
      <c r="G22" s="123" t="s">
        <v>31</v>
      </c>
      <c r="H22" s="123" t="s">
        <v>25</v>
      </c>
      <c r="I22" s="123">
        <v>680000</v>
      </c>
      <c r="J22" s="122" t="s">
        <v>19</v>
      </c>
      <c r="K22" s="124"/>
    </row>
    <row r="23" spans="1:11">
      <c r="A23" s="122" t="s">
        <v>52</v>
      </c>
      <c r="B23" s="123" t="s">
        <v>45</v>
      </c>
      <c r="C23" s="123">
        <v>480000</v>
      </c>
      <c r="D23" s="123">
        <v>580000</v>
      </c>
      <c r="E23" s="123">
        <v>720000</v>
      </c>
      <c r="F23" s="123">
        <v>880000</v>
      </c>
      <c r="G23" s="123" t="s">
        <v>17</v>
      </c>
      <c r="H23" s="123" t="s">
        <v>53</v>
      </c>
      <c r="I23" s="123">
        <v>265000</v>
      </c>
      <c r="J23" s="122" t="s">
        <v>19</v>
      </c>
      <c r="K23" s="124"/>
    </row>
    <row r="24" spans="1:11">
      <c r="A24" s="122" t="s">
        <v>54</v>
      </c>
      <c r="B24" s="123" t="s">
        <v>28</v>
      </c>
      <c r="C24" s="123">
        <v>310000</v>
      </c>
      <c r="D24" s="123">
        <v>390000</v>
      </c>
      <c r="E24" s="123">
        <v>490000</v>
      </c>
      <c r="F24" s="123">
        <v>610000</v>
      </c>
      <c r="G24" s="123" t="s">
        <v>17</v>
      </c>
      <c r="H24" s="123" t="s">
        <v>33</v>
      </c>
      <c r="I24" s="123">
        <v>155000</v>
      </c>
      <c r="J24" s="122" t="s">
        <v>19</v>
      </c>
      <c r="K24" s="124"/>
    </row>
    <row r="25" spans="1:11">
      <c r="A25" s="122" t="s">
        <v>55</v>
      </c>
      <c r="B25" s="123" t="s">
        <v>28</v>
      </c>
      <c r="C25" s="123">
        <v>280000</v>
      </c>
      <c r="D25" s="123">
        <v>355000</v>
      </c>
      <c r="E25" s="123">
        <v>445000</v>
      </c>
      <c r="F25" s="123">
        <v>555000</v>
      </c>
      <c r="G25" s="123" t="s">
        <v>12</v>
      </c>
      <c r="H25" s="123" t="s">
        <v>13</v>
      </c>
      <c r="I25" s="123">
        <v>135000</v>
      </c>
      <c r="J25" s="122" t="s">
        <v>19</v>
      </c>
      <c r="K25" s="124"/>
    </row>
    <row r="26" spans="1:11">
      <c r="A26" s="122" t="s">
        <v>56</v>
      </c>
      <c r="B26" s="123" t="s">
        <v>38</v>
      </c>
      <c r="C26" s="123">
        <v>185000</v>
      </c>
      <c r="D26" s="123">
        <v>258000</v>
      </c>
      <c r="E26" s="123">
        <v>385000</v>
      </c>
      <c r="F26" s="123">
        <v>510000</v>
      </c>
      <c r="G26" s="123" t="s">
        <v>12</v>
      </c>
      <c r="H26" s="123" t="s">
        <v>13</v>
      </c>
      <c r="I26" s="123">
        <v>128000</v>
      </c>
      <c r="J26" s="122" t="s">
        <v>19</v>
      </c>
      <c r="K26" s="124"/>
    </row>
    <row r="27" spans="1:11">
      <c r="A27" s="122" t="s">
        <v>57</v>
      </c>
      <c r="B27" s="123" t="s">
        <v>28</v>
      </c>
      <c r="C27" s="123">
        <v>320000</v>
      </c>
      <c r="D27" s="123">
        <v>405000</v>
      </c>
      <c r="E27" s="123">
        <v>510000</v>
      </c>
      <c r="F27" s="123">
        <v>635000</v>
      </c>
      <c r="G27" s="123" t="s">
        <v>17</v>
      </c>
      <c r="H27" s="123" t="s">
        <v>29</v>
      </c>
      <c r="I27" s="123">
        <v>158000</v>
      </c>
      <c r="J27" s="122" t="s">
        <v>19</v>
      </c>
      <c r="K27" s="124"/>
    </row>
    <row r="28" spans="1:11">
      <c r="A28" s="122" t="s">
        <v>58</v>
      </c>
      <c r="B28" s="123" t="s">
        <v>28</v>
      </c>
      <c r="C28" s="123">
        <v>1050000</v>
      </c>
      <c r="D28" s="123">
        <v>1220000</v>
      </c>
      <c r="E28" s="123">
        <v>1396850</v>
      </c>
      <c r="F28" s="123">
        <v>1640000</v>
      </c>
      <c r="G28" s="123" t="s">
        <v>17</v>
      </c>
      <c r="H28" s="123" t="s">
        <v>59</v>
      </c>
      <c r="I28" s="123">
        <v>420000</v>
      </c>
      <c r="J28" s="122" t="s">
        <v>19</v>
      </c>
      <c r="K28" s="124"/>
    </row>
    <row r="29" spans="1:11">
      <c r="A29" s="122" t="s">
        <v>60</v>
      </c>
      <c r="B29" s="123" t="s">
        <v>38</v>
      </c>
      <c r="C29" s="123">
        <v>128000</v>
      </c>
      <c r="D29" s="123">
        <v>172000</v>
      </c>
      <c r="E29" s="123">
        <v>225000</v>
      </c>
      <c r="F29" s="123">
        <v>282000</v>
      </c>
      <c r="G29" s="123" t="s">
        <v>12</v>
      </c>
      <c r="H29" s="123" t="s">
        <v>13</v>
      </c>
      <c r="I29" s="123">
        <v>68000</v>
      </c>
      <c r="J29" s="122" t="s">
        <v>19</v>
      </c>
      <c r="K29" s="124"/>
    </row>
    <row r="30" spans="1:11">
      <c r="A30" s="122" t="s">
        <v>61</v>
      </c>
      <c r="B30" s="123" t="s">
        <v>38</v>
      </c>
      <c r="C30" s="123">
        <v>95000</v>
      </c>
      <c r="D30" s="123">
        <v>128000</v>
      </c>
      <c r="E30" s="123">
        <v>168000</v>
      </c>
      <c r="F30" s="123">
        <v>210000</v>
      </c>
      <c r="G30" s="123" t="s">
        <v>12</v>
      </c>
      <c r="H30" s="123" t="s">
        <v>13</v>
      </c>
      <c r="I30" s="123">
        <v>50000</v>
      </c>
      <c r="J30" s="122" t="s">
        <v>22</v>
      </c>
      <c r="K30" s="124"/>
    </row>
    <row r="31" spans="1:11">
      <c r="A31" s="122" t="s">
        <v>62</v>
      </c>
      <c r="B31" s="123" t="s">
        <v>38</v>
      </c>
      <c r="C31" s="123">
        <v>88000</v>
      </c>
      <c r="D31" s="123">
        <v>118000</v>
      </c>
      <c r="E31" s="123">
        <v>155000</v>
      </c>
      <c r="F31" s="123">
        <v>195000</v>
      </c>
      <c r="G31" s="123" t="s">
        <v>12</v>
      </c>
      <c r="H31" s="123" t="s">
        <v>13</v>
      </c>
      <c r="I31" s="123">
        <v>46000</v>
      </c>
      <c r="J31" s="122" t="s">
        <v>22</v>
      </c>
      <c r="K31" s="124"/>
    </row>
    <row r="32" spans="1:11">
      <c r="A32" s="122" t="s">
        <v>63</v>
      </c>
      <c r="B32" s="123" t="s">
        <v>38</v>
      </c>
      <c r="C32" s="123">
        <v>148000</v>
      </c>
      <c r="D32" s="123">
        <v>198000</v>
      </c>
      <c r="E32" s="123">
        <v>260000</v>
      </c>
      <c r="F32" s="123">
        <v>325000</v>
      </c>
      <c r="G32" s="123" t="s">
        <v>12</v>
      </c>
      <c r="H32" s="123" t="s">
        <v>13</v>
      </c>
      <c r="I32" s="123">
        <v>78000</v>
      </c>
      <c r="J32" s="122" t="s">
        <v>22</v>
      </c>
      <c r="K32" s="124"/>
    </row>
    <row r="33" spans="1:11">
      <c r="A33" s="122" t="s">
        <v>64</v>
      </c>
      <c r="B33" s="123" t="s">
        <v>28</v>
      </c>
      <c r="C33" s="123">
        <v>360000</v>
      </c>
      <c r="D33" s="123">
        <v>440000</v>
      </c>
      <c r="E33" s="123">
        <v>548000</v>
      </c>
      <c r="F33" s="123">
        <v>680000</v>
      </c>
      <c r="G33" s="123" t="s">
        <v>17</v>
      </c>
      <c r="H33" s="123" t="s">
        <v>29</v>
      </c>
      <c r="I33" s="123">
        <v>215000</v>
      </c>
      <c r="J33" s="122" t="s">
        <v>19</v>
      </c>
      <c r="K33" s="124"/>
    </row>
    <row r="34" spans="1:11">
      <c r="A34" s="122" t="s">
        <v>65</v>
      </c>
      <c r="B34" s="123" t="s">
        <v>21</v>
      </c>
      <c r="C34" s="123">
        <v>158000</v>
      </c>
      <c r="D34" s="123">
        <v>212000</v>
      </c>
      <c r="E34" s="123">
        <v>295000</v>
      </c>
      <c r="F34" s="123">
        <v>370000</v>
      </c>
      <c r="G34" s="123" t="s">
        <v>12</v>
      </c>
      <c r="H34" s="123" t="s">
        <v>13</v>
      </c>
      <c r="I34" s="123">
        <v>90000</v>
      </c>
      <c r="J34" s="122" t="s">
        <v>19</v>
      </c>
      <c r="K34" s="124"/>
    </row>
    <row r="35" spans="1:11">
      <c r="A35" s="122" t="s">
        <v>66</v>
      </c>
      <c r="B35" s="123" t="s">
        <v>45</v>
      </c>
      <c r="C35" s="123">
        <v>820000</v>
      </c>
      <c r="D35" s="123">
        <v>970000</v>
      </c>
      <c r="E35" s="123">
        <v>1150000</v>
      </c>
      <c r="F35" s="123">
        <v>1350000</v>
      </c>
      <c r="G35" s="123" t="s">
        <v>17</v>
      </c>
      <c r="H35" s="123" t="s">
        <v>42</v>
      </c>
      <c r="I35" s="123">
        <v>490000</v>
      </c>
      <c r="J35" s="122" t="s">
        <v>19</v>
      </c>
      <c r="K35" s="124"/>
    </row>
    <row r="36" spans="1:11">
      <c r="A36" s="122" t="s">
        <v>67</v>
      </c>
      <c r="B36" s="123" t="s">
        <v>16</v>
      </c>
      <c r="C36" s="123">
        <v>480000</v>
      </c>
      <c r="D36" s="123">
        <v>580000</v>
      </c>
      <c r="E36" s="123">
        <v>695000</v>
      </c>
      <c r="F36" s="123">
        <v>820000</v>
      </c>
      <c r="G36" s="123" t="s">
        <v>17</v>
      </c>
      <c r="H36" s="123" t="s">
        <v>18</v>
      </c>
      <c r="I36" s="123">
        <v>248000</v>
      </c>
      <c r="J36" s="122" t="s">
        <v>19</v>
      </c>
      <c r="K36" s="124"/>
    </row>
    <row r="37" spans="1:11">
      <c r="A37" s="122" t="s">
        <v>68</v>
      </c>
      <c r="B37" s="123" t="s">
        <v>16</v>
      </c>
      <c r="C37" s="123">
        <v>1100000</v>
      </c>
      <c r="D37" s="123">
        <v>1280000</v>
      </c>
      <c r="E37" s="123">
        <v>1202487</v>
      </c>
      <c r="F37" s="123">
        <v>1650000</v>
      </c>
      <c r="G37" s="123" t="s">
        <v>31</v>
      </c>
      <c r="H37" s="123" t="s">
        <v>18</v>
      </c>
      <c r="I37" s="123">
        <v>580000</v>
      </c>
      <c r="J37" s="122" t="s">
        <v>19</v>
      </c>
      <c r="K37" s="124"/>
    </row>
    <row r="38" spans="1:11">
      <c r="A38" s="122" t="s">
        <v>69</v>
      </c>
      <c r="B38" s="122" t="s">
        <v>45</v>
      </c>
      <c r="C38" s="122">
        <v>1200000</v>
      </c>
      <c r="D38" s="122">
        <v>1400000</v>
      </c>
      <c r="E38" s="122">
        <v>1564472</v>
      </c>
      <c r="F38" s="122">
        <v>1840000</v>
      </c>
      <c r="G38" s="122" t="s">
        <v>31</v>
      </c>
      <c r="H38" s="122" t="s">
        <v>48</v>
      </c>
      <c r="I38" s="122">
        <v>720000</v>
      </c>
      <c r="J38" s="122" t="s">
        <v>19</v>
      </c>
      <c r="K38" s="1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="90" zoomScaleNormal="90" workbookViewId="0">
      <selection activeCell="F3" sqref="F3"/>
    </sheetView>
  </sheetViews>
  <sheetFormatPr defaultColWidth="9.14285714285714" defaultRowHeight="15" outlineLevelCol="4"/>
  <cols>
    <col min="1" max="1" width="23.4666666666667" customWidth="1"/>
    <col min="2" max="2" width="11.8571428571429" customWidth="1"/>
    <col min="3" max="3" width="14" customWidth="1"/>
    <col min="4" max="4" width="29.1428571428571" customWidth="1"/>
    <col min="5" max="5" width="12.8571428571429"/>
  </cols>
  <sheetData>
    <row r="1" s="108" customFormat="1" ht="18.75" spans="1:5">
      <c r="A1" s="65" t="s">
        <v>70</v>
      </c>
      <c r="B1" s="65"/>
      <c r="C1" s="65"/>
      <c r="D1" s="65"/>
    </row>
    <row r="3" s="109" customFormat="1" spans="1:5">
      <c r="A3" s="110" t="s">
        <v>71</v>
      </c>
      <c r="B3" s="110" t="s">
        <v>0</v>
      </c>
      <c r="C3" s="110" t="s">
        <v>1</v>
      </c>
      <c r="D3" s="110" t="s">
        <v>72</v>
      </c>
      <c r="E3" s="110" t="s">
        <v>73</v>
      </c>
    </row>
    <row r="4" spans="1:5">
      <c r="A4">
        <v>1</v>
      </c>
      <c r="B4" t="str" cm="1">
        <f t="array" ref="B4">INDEX(nigeria_food_insecurity_all_sta!A$2:A$38,MATCH(LARGE(nigeria_food_insecurity_all_sta!F$2:F$38,A4),nigeria_food_insecurity_all_sta!F$2:F$38,0))</f>
        <v>Borno</v>
      </c>
      <c r="C4" t="str" cm="1">
        <f t="array" ref="C4">INDEX(nigeria_food_insecurity_all_sta!B$2:B$38,MATCH(LARGE(nigeria_food_insecurity_all_sta!F$2:F$38,A4),nigeria_food_insecurity_all_sta!F$2:F$38,0))</f>
        <v>North East</v>
      </c>
      <c r="D4">
        <f>LARGE(nigeria_food_insecurity_all_sta!F$2:F$38,A4)</f>
        <v>2610000</v>
      </c>
      <c r="E4" s="62">
        <f>D4/SUM(nigeria_food_insecurity_all_sta!F$2:F$38)*100</f>
        <v>8.838768668089</v>
      </c>
    </row>
    <row r="5" spans="1:5">
      <c r="A5">
        <v>2</v>
      </c>
      <c r="B5" t="str" cm="1">
        <f t="array" ref="B5">INDEX(nigeria_food_insecurity_all_sta!A$2:A$38,MATCH(LARGE(nigeria_food_insecurity_all_sta!F$2:F$38,A5),nigeria_food_insecurity_all_sta!F$2:F$38,0))</f>
        <v>Kaduna</v>
      </c>
      <c r="C5" t="str" cm="1">
        <f t="array" ref="C5">INDEX(nigeria_food_insecurity_all_sta!B$2:B$38,MATCH(LARGE(nigeria_food_insecurity_all_sta!F$2:F$38,A5),nigeria_food_insecurity_all_sta!F$2:F$38,0))</f>
        <v>North West</v>
      </c>
      <c r="D5">
        <f>LARGE(nigeria_food_insecurity_all_sta!F$2:F$38,A5)</f>
        <v>2050000</v>
      </c>
      <c r="E5" s="62">
        <f>D5/SUM(nigeria_food_insecurity_all_sta!F$2:F$38)*100</f>
        <v>6.94232788106607</v>
      </c>
    </row>
    <row r="6" spans="1:5">
      <c r="A6">
        <v>3</v>
      </c>
      <c r="B6" t="str" cm="1">
        <f t="array" ref="B6">INDEX(nigeria_food_insecurity_all_sta!A$2:A$38,MATCH(LARGE(nigeria_food_insecurity_all_sta!F$2:F$38,A6),nigeria_food_insecurity_all_sta!F$2:F$38,0))</f>
        <v>Kano</v>
      </c>
      <c r="C6" t="str" cm="1">
        <f t="array" ref="C6">INDEX(nigeria_food_insecurity_all_sta!B$2:B$38,MATCH(LARGE(nigeria_food_insecurity_all_sta!F$2:F$38,A6),nigeria_food_insecurity_all_sta!F$2:F$38,0))</f>
        <v>North West</v>
      </c>
      <c r="D6">
        <f>LARGE(nigeria_food_insecurity_all_sta!F$2:F$38,A6)</f>
        <v>1950000</v>
      </c>
      <c r="E6" s="62">
        <f>D6/SUM(nigeria_food_insecurity_all_sta!F$2:F$38)*100</f>
        <v>6.60367774052626</v>
      </c>
    </row>
    <row r="7" spans="1:5">
      <c r="A7">
        <v>4</v>
      </c>
      <c r="B7" t="str" cm="1">
        <f t="array" ref="B7">INDEX(nigeria_food_insecurity_all_sta!A$2:A$38,MATCH(LARGE(nigeria_food_insecurity_all_sta!F$2:F$38,A7),nigeria_food_insecurity_all_sta!F$2:F$38,0))</f>
        <v>Katsina</v>
      </c>
      <c r="C7" t="str" cm="1">
        <f t="array" ref="C7">INDEX(nigeria_food_insecurity_all_sta!B$2:B$38,MATCH(LARGE(nigeria_food_insecurity_all_sta!F$2:F$38,A7),nigeria_food_insecurity_all_sta!F$2:F$38,0))</f>
        <v>North West</v>
      </c>
      <c r="D7">
        <f>LARGE(nigeria_food_insecurity_all_sta!F$2:F$38,A7)</f>
        <v>1880000</v>
      </c>
      <c r="E7" s="62">
        <f>D7/SUM(nigeria_food_insecurity_all_sta!F$2:F$38)*100</f>
        <v>6.3666226421484</v>
      </c>
    </row>
    <row r="8" spans="1:5">
      <c r="A8">
        <v>5</v>
      </c>
      <c r="B8" t="str" cm="1">
        <f t="array" ref="B8">INDEX(nigeria_food_insecurity_all_sta!A$2:A$38,MATCH(LARGE(nigeria_food_insecurity_all_sta!F$2:F$38,A8),nigeria_food_insecurity_all_sta!F$2:F$38,0))</f>
        <v>Zamfara</v>
      </c>
      <c r="C8" t="str" cm="1">
        <f t="array" ref="C8">INDEX(nigeria_food_insecurity_all_sta!B$2:B$38,MATCH(LARGE(nigeria_food_insecurity_all_sta!F$2:F$38,A8),nigeria_food_insecurity_all_sta!F$2:F$38,0))</f>
        <v>North West</v>
      </c>
      <c r="D8">
        <f>LARGE(nigeria_food_insecurity_all_sta!F$2:F$38,A8)</f>
        <v>1840000</v>
      </c>
      <c r="E8" s="62">
        <f>D8/SUM(nigeria_food_insecurity_all_sta!F$2:F$38)*100</f>
        <v>6.23116258593247</v>
      </c>
    </row>
    <row r="9" spans="1:5">
      <c r="A9">
        <v>6</v>
      </c>
      <c r="B9" t="str" cm="1">
        <f t="array" ref="B9">INDEX(nigeria_food_insecurity_all_sta!A$2:A$38,MATCH(LARGE(nigeria_food_insecurity_all_sta!F$2:F$38,A9),nigeria_food_insecurity_all_sta!F$2:F$38,0))</f>
        <v>Yobe</v>
      </c>
      <c r="C9" t="str" cm="1">
        <f t="array" ref="C9">INDEX(nigeria_food_insecurity_all_sta!B$2:B$38,MATCH(LARGE(nigeria_food_insecurity_all_sta!F$2:F$38,A9),nigeria_food_insecurity_all_sta!F$2:F$38,0))</f>
        <v>North East</v>
      </c>
      <c r="D9">
        <f>LARGE(nigeria_food_insecurity_all_sta!F$2:F$38,A9)</f>
        <v>1650000</v>
      </c>
      <c r="E9" s="62">
        <f>D9/SUM(nigeria_food_insecurity_all_sta!F$2:F$38)*100</f>
        <v>5.58772731890684</v>
      </c>
    </row>
    <row r="10" spans="1:5">
      <c r="A10">
        <v>7</v>
      </c>
      <c r="B10" t="str" cm="1">
        <f t="array" ref="B10">INDEX(nigeria_food_insecurity_all_sta!A$2:A$38,MATCH(LARGE(nigeria_food_insecurity_all_sta!F$2:F$38,A10),nigeria_food_insecurity_all_sta!F$2:F$38,0))</f>
        <v>Niger</v>
      </c>
      <c r="C10" t="str" cm="1">
        <f t="array" ref="C10">INDEX(nigeria_food_insecurity_all_sta!B$2:B$38,MATCH(LARGE(nigeria_food_insecurity_all_sta!F$2:F$38,A10),nigeria_food_insecurity_all_sta!F$2:F$38,0))</f>
        <v>North Central</v>
      </c>
      <c r="D10">
        <f>LARGE(nigeria_food_insecurity_all_sta!F$2:F$38,A10)</f>
        <v>1640000</v>
      </c>
      <c r="E10" s="62">
        <f>D10/SUM(nigeria_food_insecurity_all_sta!F$2:F$38)*100</f>
        <v>5.55386230485286</v>
      </c>
    </row>
    <row r="11" spans="1:5">
      <c r="A11">
        <v>8</v>
      </c>
      <c r="B11" t="str" cm="1">
        <f t="array" ref="B11">INDEX(nigeria_food_insecurity_all_sta!A$2:A$38,MATCH(LARGE(nigeria_food_insecurity_all_sta!F$2:F$38,A11),nigeria_food_insecurity_all_sta!F$2:F$38,0))</f>
        <v>Benue</v>
      </c>
      <c r="C11" t="str" cm="1">
        <f t="array" ref="C11">INDEX(nigeria_food_insecurity_all_sta!B$2:B$38,MATCH(LARGE(nigeria_food_insecurity_all_sta!F$2:F$38,A11),nigeria_food_insecurity_all_sta!F$2:F$38,0))</f>
        <v>North Central</v>
      </c>
      <c r="D11">
        <f>LARGE(nigeria_food_insecurity_all_sta!F$2:F$38,A11)</f>
        <v>1420000</v>
      </c>
      <c r="E11" s="62">
        <f>D11/SUM(nigeria_food_insecurity_all_sta!F$2:F$38)*100</f>
        <v>4.80883199566528</v>
      </c>
    </row>
    <row r="12" spans="1:5">
      <c r="A12">
        <v>9</v>
      </c>
      <c r="B12" t="str" cm="1">
        <f t="array" ref="B12">INDEX(nigeria_food_insecurity_all_sta!A$2:A$38,MATCH(LARGE(nigeria_food_insecurity_all_sta!F$2:F$38,A12),nigeria_food_insecurity_all_sta!F$2:F$38,0))</f>
        <v>Adamawa</v>
      </c>
      <c r="C12" t="str" cm="1">
        <f t="array" ref="C12">INDEX(nigeria_food_insecurity_all_sta!B$2:B$38,MATCH(LARGE(nigeria_food_insecurity_all_sta!F$2:F$38,A12),nigeria_food_insecurity_all_sta!F$2:F$38,0))</f>
        <v>North East</v>
      </c>
      <c r="D12">
        <f>LARGE(nigeria_food_insecurity_all_sta!F$2:F$38,A12)</f>
        <v>1390000</v>
      </c>
      <c r="E12" s="62">
        <f>D12/SUM(nigeria_food_insecurity_all_sta!F$2:F$38)*100</f>
        <v>4.70723695350333</v>
      </c>
    </row>
    <row r="13" spans="1:5">
      <c r="A13">
        <v>10</v>
      </c>
      <c r="B13" t="str" cm="1">
        <f t="array" ref="B13">INDEX(nigeria_food_insecurity_all_sta!A$2:A$38,MATCH(LARGE(nigeria_food_insecurity_all_sta!F$2:F$38,A13),nigeria_food_insecurity_all_sta!F$2:F$38,0))</f>
        <v>Sokoto</v>
      </c>
      <c r="C13" t="str" cm="1">
        <f t="array" ref="C13">INDEX(nigeria_food_insecurity_all_sta!B$2:B$38,MATCH(LARGE(nigeria_food_insecurity_all_sta!F$2:F$38,A13),nigeria_food_insecurity_all_sta!F$2:F$38,0))</f>
        <v>North West</v>
      </c>
      <c r="D13">
        <f>LARGE(nigeria_food_insecurity_all_sta!F$2:F$38,A13)</f>
        <v>1350000</v>
      </c>
      <c r="E13" s="62">
        <f>D13/SUM(nigeria_food_insecurity_all_sta!F$2:F$38)*100</f>
        <v>4.57177689728741</v>
      </c>
    </row>
    <row r="14" spans="1:5">
      <c r="A14">
        <v>11</v>
      </c>
      <c r="B14" t="str" cm="1">
        <f t="array" ref="B14">INDEX(nigeria_food_insecurity_all_sta!A$2:A$38,MATCH(LARGE(nigeria_food_insecurity_all_sta!F$2:F$38,A14),nigeria_food_insecurity_all_sta!F$2:F$38,0))</f>
        <v>Jigawa</v>
      </c>
      <c r="C14" t="str" cm="1">
        <f t="array" ref="C14">INDEX(nigeria_food_insecurity_all_sta!B$2:B$38,MATCH(LARGE(nigeria_food_insecurity_all_sta!F$2:F$38,A14),nigeria_food_insecurity_all_sta!F$2:F$38,0))</f>
        <v>North West</v>
      </c>
      <c r="D14">
        <f>LARGE(nigeria_food_insecurity_all_sta!F$2:F$38,A14)</f>
        <v>1150000</v>
      </c>
      <c r="E14" s="62">
        <f>D14/SUM(nigeria_food_insecurity_all_sta!F$2:F$38)*100</f>
        <v>3.8944766162078</v>
      </c>
    </row>
    <row r="15" spans="1:5">
      <c r="A15">
        <v>12</v>
      </c>
      <c r="B15" t="str" cm="1">
        <f t="array" ref="B15">INDEX(nigeria_food_insecurity_all_sta!A$2:A$38,MATCH(LARGE(nigeria_food_insecurity_all_sta!F$2:F$38,A15),nigeria_food_insecurity_all_sta!F$2:F$38,0))</f>
        <v>Bauchi</v>
      </c>
      <c r="C15" t="str" cm="1">
        <f t="array" ref="C15">INDEX(nigeria_food_insecurity_all_sta!B$2:B$38,MATCH(LARGE(nigeria_food_insecurity_all_sta!F$2:F$38,A15),nigeria_food_insecurity_all_sta!F$2:F$38,0))</f>
        <v>North East</v>
      </c>
      <c r="D15">
        <f>LARGE(nigeria_food_insecurity_all_sta!F$2:F$38,A15)</f>
        <v>1050000</v>
      </c>
      <c r="E15" s="62">
        <f>D15/SUM(nigeria_food_insecurity_all_sta!F$2:F$38)*100</f>
        <v>3.55582647566799</v>
      </c>
    </row>
    <row r="16" spans="1:5">
      <c r="A16">
        <v>13</v>
      </c>
      <c r="B16" t="str" cm="1">
        <f t="array" ref="B16">INDEX(nigeria_food_insecurity_all_sta!A$2:A$38,MATCH(LARGE(nigeria_food_insecurity_all_sta!F$2:F$38,A16),nigeria_food_insecurity_all_sta!F$2:F$38,0))</f>
        <v>Gombe</v>
      </c>
      <c r="C16" t="str" cm="1">
        <f t="array" ref="C16">INDEX(nigeria_food_insecurity_all_sta!B$2:B$38,MATCH(LARGE(nigeria_food_insecurity_all_sta!F$2:F$38,A16),nigeria_food_insecurity_all_sta!F$2:F$38,0))</f>
        <v>North East</v>
      </c>
      <c r="D16">
        <f>LARGE(nigeria_food_insecurity_all_sta!F$2:F$38,A16)</f>
        <v>890000</v>
      </c>
      <c r="E16" s="62">
        <f>D16/SUM(nigeria_food_insecurity_all_sta!F$2:F$38)*100</f>
        <v>3.01398625080429</v>
      </c>
    </row>
    <row r="17" spans="1:5">
      <c r="A17">
        <v>14</v>
      </c>
      <c r="B17" t="str" cm="1">
        <f t="array" ref="B17">INDEX(nigeria_food_insecurity_all_sta!A$2:A$38,MATCH(LARGE(nigeria_food_insecurity_all_sta!F$2:F$38,A17),nigeria_food_insecurity_all_sta!F$2:F$38,0))</f>
        <v>Kebbi</v>
      </c>
      <c r="C17" t="str" cm="1">
        <f t="array" ref="C17">INDEX(nigeria_food_insecurity_all_sta!B$2:B$38,MATCH(LARGE(nigeria_food_insecurity_all_sta!F$2:F$38,A17),nigeria_food_insecurity_all_sta!F$2:F$38,0))</f>
        <v>North West</v>
      </c>
      <c r="D17">
        <f>LARGE(nigeria_food_insecurity_all_sta!F$2:F$38,A17)</f>
        <v>880000</v>
      </c>
      <c r="E17" s="62">
        <f>D17/SUM(nigeria_food_insecurity_all_sta!F$2:F$38)*100</f>
        <v>2.98012123675031</v>
      </c>
    </row>
    <row r="18" spans="1:5">
      <c r="A18">
        <v>15</v>
      </c>
      <c r="B18" t="str" cm="1">
        <f t="array" ref="B18">INDEX(nigeria_food_insecurity_all_sta!A$2:A$38,MATCH(LARGE(nigeria_food_insecurity_all_sta!F$2:F$38,A18),nigeria_food_insecurity_all_sta!F$2:F$38,0))</f>
        <v>Taraba</v>
      </c>
      <c r="C18" t="str" cm="1">
        <f t="array" ref="C18">INDEX(nigeria_food_insecurity_all_sta!B$2:B$38,MATCH(LARGE(nigeria_food_insecurity_all_sta!F$2:F$38,A18),nigeria_food_insecurity_all_sta!F$2:F$38,0))</f>
        <v>North East</v>
      </c>
      <c r="D18">
        <f>LARGE(nigeria_food_insecurity_all_sta!F$2:F$38,A18)</f>
        <v>820000</v>
      </c>
      <c r="E18" s="62">
        <f>D18/SUM(nigeria_food_insecurity_all_sta!F$2:F$38)*100</f>
        <v>2.77693115242643</v>
      </c>
    </row>
    <row r="19" spans="1:5">
      <c r="A19">
        <v>16</v>
      </c>
      <c r="B19" t="str" cm="1">
        <f t="array" ref="B19">INDEX(nigeria_food_insecurity_all_sta!A$2:A$38,MATCH(LARGE(nigeria_food_insecurity_all_sta!F$2:F$38,A19),nigeria_food_insecurity_all_sta!F$2:F$38,0))</f>
        <v>Plateau</v>
      </c>
      <c r="C19" t="str" cm="1">
        <f t="array" ref="C19">INDEX(nigeria_food_insecurity_all_sta!B$2:B$38,MATCH(LARGE(nigeria_food_insecurity_all_sta!F$2:F$38,A19),nigeria_food_insecurity_all_sta!F$2:F$38,0))</f>
        <v>North Central</v>
      </c>
      <c r="D19">
        <f>LARGE(nigeria_food_insecurity_all_sta!F$2:F$38,A19)</f>
        <v>680000</v>
      </c>
      <c r="E19" s="62">
        <f>D19/SUM(nigeria_food_insecurity_all_sta!F$2:F$38)*100</f>
        <v>2.3028209556707</v>
      </c>
    </row>
    <row r="20" spans="1:5">
      <c r="A20">
        <v>17</v>
      </c>
      <c r="B20" t="str" cm="1">
        <f t="array" ref="B20">INDEX(nigeria_food_insecurity_all_sta!A$2:A$38,MATCH(LARGE(nigeria_food_insecurity_all_sta!F$2:F$38,A20),nigeria_food_insecurity_all_sta!F$2:F$38,0))</f>
        <v>Nasarawa</v>
      </c>
      <c r="C20" t="str" cm="1">
        <f t="array" ref="C20">INDEX(nigeria_food_insecurity_all_sta!B$2:B$38,MATCH(LARGE(nigeria_food_insecurity_all_sta!F$2:F$38,A20),nigeria_food_insecurity_all_sta!F$2:F$38,0))</f>
        <v>North Central</v>
      </c>
      <c r="D20">
        <f>LARGE(nigeria_food_insecurity_all_sta!F$2:F$38,A20)</f>
        <v>635000</v>
      </c>
      <c r="E20" s="62">
        <f>D20/SUM(nigeria_food_insecurity_all_sta!F$2:F$38)*100</f>
        <v>2.15042839242778</v>
      </c>
    </row>
    <row r="21" spans="1:5">
      <c r="A21">
        <v>18</v>
      </c>
      <c r="B21" t="str" cm="1">
        <f t="array" ref="B21">INDEX(nigeria_food_insecurity_all_sta!A$2:A$38,MATCH(LARGE(nigeria_food_insecurity_all_sta!F$2:F$38,A21),nigeria_food_insecurity_all_sta!F$2:F$38,0))</f>
        <v>Kogi</v>
      </c>
      <c r="C21" t="str" cm="1">
        <f t="array" ref="C21">INDEX(nigeria_food_insecurity_all_sta!B$2:B$38,MATCH(LARGE(nigeria_food_insecurity_all_sta!F$2:F$38,A21),nigeria_food_insecurity_all_sta!F$2:F$38,0))</f>
        <v>North Central</v>
      </c>
      <c r="D21">
        <f>LARGE(nigeria_food_insecurity_all_sta!F$2:F$38,A21)</f>
        <v>610000</v>
      </c>
      <c r="E21" s="62">
        <f>D21/SUM(nigeria_food_insecurity_all_sta!F$2:F$38)*100</f>
        <v>2.06576585729283</v>
      </c>
    </row>
    <row r="22" spans="1:5">
      <c r="A22">
        <v>19</v>
      </c>
      <c r="B22" t="str" cm="1">
        <f t="array" ref="B22">INDEX(nigeria_food_insecurity_all_sta!A$2:A$38,MATCH(LARGE(nigeria_food_insecurity_all_sta!F$2:F$38,A22),nigeria_food_insecurity_all_sta!F$2:F$38,0))</f>
        <v>Kwara</v>
      </c>
      <c r="C22" t="str" cm="1">
        <f t="array" ref="C22">INDEX(nigeria_food_insecurity_all_sta!B$2:B$38,MATCH(LARGE(nigeria_food_insecurity_all_sta!F$2:F$38,A22),nigeria_food_insecurity_all_sta!F$2:F$38,0))</f>
        <v>North Central</v>
      </c>
      <c r="D22">
        <f>LARGE(nigeria_food_insecurity_all_sta!F$2:F$38,A22)</f>
        <v>555000</v>
      </c>
      <c r="E22" s="62">
        <f>D22/SUM(nigeria_food_insecurity_all_sta!F$2:F$38)*100</f>
        <v>1.87950827999594</v>
      </c>
    </row>
    <row r="23" spans="1:5">
      <c r="A23">
        <v>20</v>
      </c>
      <c r="B23" t="str" cm="1">
        <f t="array" ref="B23">INDEX(nigeria_food_insecurity_all_sta!A$2:A$38,MATCH(LARGE(nigeria_food_insecurity_all_sta!F$2:F$38,A23),nigeria_food_insecurity_all_sta!F$2:F$38,0))</f>
        <v>Lagos</v>
      </c>
      <c r="C23" t="str" cm="1">
        <f t="array" ref="C23">INDEX(nigeria_food_insecurity_all_sta!B$2:B$38,MATCH(LARGE(nigeria_food_insecurity_all_sta!F$2:F$38,A23),nigeria_food_insecurity_all_sta!F$2:F$38,0))</f>
        <v>South West</v>
      </c>
      <c r="D23">
        <f>LARGE(nigeria_food_insecurity_all_sta!F$2:F$38,A23)</f>
        <v>510000</v>
      </c>
      <c r="E23" s="62">
        <f>D23/SUM(nigeria_food_insecurity_all_sta!F$2:F$38)*100</f>
        <v>1.72711571675302</v>
      </c>
    </row>
    <row r="24" spans="1:5">
      <c r="A24">
        <v>21</v>
      </c>
      <c r="B24" t="str" cm="1">
        <f t="array" ref="B24">INDEX(nigeria_food_insecurity_all_sta!A$2:A$38,MATCH(LARGE(nigeria_food_insecurity_all_sta!F$2:F$38,A24),nigeria_food_insecurity_all_sta!F$2:F$38,0))</f>
        <v>FCT</v>
      </c>
      <c r="C24" t="str" cm="1">
        <f t="array" ref="C24">INDEX(nigeria_food_insecurity_all_sta!B$2:B$38,MATCH(LARGE(nigeria_food_insecurity_all_sta!F$2:F$38,A24),nigeria_food_insecurity_all_sta!F$2:F$38,0))</f>
        <v>North Central</v>
      </c>
      <c r="D24">
        <f>LARGE(nigeria_food_insecurity_all_sta!F$2:F$38,A24)</f>
        <v>390000</v>
      </c>
      <c r="E24" s="62">
        <f>D24/SUM(nigeria_food_insecurity_all_sta!F$2:F$38)*100</f>
        <v>1.32073554810525</v>
      </c>
    </row>
    <row r="25" spans="1:5">
      <c r="A25">
        <v>22</v>
      </c>
      <c r="B25" t="str" cm="1">
        <f t="array" ref="B25">INDEX(nigeria_food_insecurity_all_sta!A$2:A$38,MATCH(LARGE(nigeria_food_insecurity_all_sta!F$2:F$38,A25),nigeria_food_insecurity_all_sta!F$2:F$38,0))</f>
        <v>Rivers</v>
      </c>
      <c r="C25" t="str" cm="1">
        <f t="array" ref="C25">INDEX(nigeria_food_insecurity_all_sta!B$2:B$38,MATCH(LARGE(nigeria_food_insecurity_all_sta!F$2:F$38,A25),nigeria_food_insecurity_all_sta!F$2:F$38,0))</f>
        <v>South South</v>
      </c>
      <c r="D25">
        <f>LARGE(nigeria_food_insecurity_all_sta!F$2:F$38,A25)</f>
        <v>370000</v>
      </c>
      <c r="E25" s="62">
        <f>D25/SUM(nigeria_food_insecurity_all_sta!F$2:F$38)*100</f>
        <v>1.25300551999729</v>
      </c>
    </row>
    <row r="26" spans="1:5">
      <c r="A26">
        <v>23</v>
      </c>
      <c r="B26" t="str" cm="1">
        <f t="array" ref="B26">INDEX(nigeria_food_insecurity_all_sta!A$2:A$38,MATCH(LARGE(nigeria_food_insecurity_all_sta!F$2:F$38,A26),nigeria_food_insecurity_all_sta!F$2:F$38,0))</f>
        <v>Oyo</v>
      </c>
      <c r="C26" t="str" cm="1">
        <f t="array" ref="C26">INDEX(nigeria_food_insecurity_all_sta!B$2:B$38,MATCH(LARGE(nigeria_food_insecurity_all_sta!F$2:F$38,A26),nigeria_food_insecurity_all_sta!F$2:F$38,0))</f>
        <v>South West</v>
      </c>
      <c r="D26">
        <f>LARGE(nigeria_food_insecurity_all_sta!F$2:F$38,A26)</f>
        <v>325000</v>
      </c>
      <c r="E26" s="62">
        <f>D26/SUM(nigeria_food_insecurity_all_sta!F$2:F$38)*100</f>
        <v>1.10061295675438</v>
      </c>
    </row>
    <row r="27" spans="1:5">
      <c r="A27">
        <v>24</v>
      </c>
      <c r="B27" t="str" cm="1">
        <f t="array" ref="B27">INDEX(nigeria_food_insecurity_all_sta!A$2:A$38,MATCH(LARGE(nigeria_food_insecurity_all_sta!F$2:F$38,A27),nigeria_food_insecurity_all_sta!F$2:F$38,0))</f>
        <v>Ogun</v>
      </c>
      <c r="C27" t="str" cm="1">
        <f t="array" ref="C27">INDEX(nigeria_food_insecurity_all_sta!B$2:B$38,MATCH(LARGE(nigeria_food_insecurity_all_sta!F$2:F$38,A27),nigeria_food_insecurity_all_sta!F$2:F$38,0))</f>
        <v>South West</v>
      </c>
      <c r="D27">
        <f>LARGE(nigeria_food_insecurity_all_sta!F$2:F$38,A27)</f>
        <v>282000</v>
      </c>
      <c r="E27" s="62">
        <f>D27/SUM(nigeria_food_insecurity_all_sta!F$2:F$38)*100</f>
        <v>0.95499339632226</v>
      </c>
    </row>
    <row r="28" spans="1:5">
      <c r="A28">
        <v>25</v>
      </c>
      <c r="B28" t="str" cm="1">
        <f t="array" ref="B28">INDEX(nigeria_food_insecurity_all_sta!A$2:A$38,MATCH(LARGE(nigeria_food_insecurity_all_sta!F$2:F$38,A28),nigeria_food_insecurity_all_sta!F$2:F$38,0))</f>
        <v>Cross River</v>
      </c>
      <c r="C28" t="str" cm="1">
        <f t="array" ref="C28">INDEX(nigeria_food_insecurity_all_sta!B$2:B$38,MATCH(LARGE(nigeria_food_insecurity_all_sta!F$2:F$38,A28),nigeria_food_insecurity_all_sta!F$2:F$38,0))</f>
        <v>South South</v>
      </c>
      <c r="D28">
        <f>LARGE(nigeria_food_insecurity_all_sta!F$2:F$38,A28)</f>
        <v>245000</v>
      </c>
      <c r="E28" s="62">
        <f>D28/SUM(nigeria_food_insecurity_all_sta!F$2:F$38)*100</f>
        <v>0.82969284432253</v>
      </c>
    </row>
    <row r="29" spans="1:5">
      <c r="A29">
        <v>26</v>
      </c>
      <c r="B29" t="str" cm="1">
        <f t="array" ref="B29">INDEX(nigeria_food_insecurity_all_sta!A$2:A$38,MATCH(LARGE(nigeria_food_insecurity_all_sta!F$2:F$38,A29),nigeria_food_insecurity_all_sta!F$2:F$38,0))</f>
        <v>Delta</v>
      </c>
      <c r="C29" t="str" cm="1">
        <f t="array" ref="C29">INDEX(nigeria_food_insecurity_all_sta!B$2:B$38,MATCH(LARGE(nigeria_food_insecurity_all_sta!F$2:F$38,A29),nigeria_food_insecurity_all_sta!F$2:F$38,0))</f>
        <v>South South</v>
      </c>
      <c r="D29">
        <f>LARGE(nigeria_food_insecurity_all_sta!F$2:F$38,A29)</f>
        <v>228000</v>
      </c>
      <c r="E29" s="62">
        <f>D29/SUM(nigeria_food_insecurity_all_sta!F$2:F$38)*100</f>
        <v>0.772122320430763</v>
      </c>
    </row>
    <row r="30" spans="1:5">
      <c r="A30">
        <v>27</v>
      </c>
      <c r="B30" t="str" cm="1">
        <f t="array" ref="B30">INDEX(nigeria_food_insecurity_all_sta!A$2:A$38,MATCH(LARGE(nigeria_food_insecurity_all_sta!F$2:F$38,A30),nigeria_food_insecurity_all_sta!F$2:F$38,0))</f>
        <v>Anambra</v>
      </c>
      <c r="C30" t="str" cm="1">
        <f t="array" ref="C30">INDEX(nigeria_food_insecurity_all_sta!B$2:B$38,MATCH(LARGE(nigeria_food_insecurity_all_sta!F$2:F$38,A30),nigeria_food_insecurity_all_sta!F$2:F$38,0))</f>
        <v>South East</v>
      </c>
      <c r="D30">
        <f>LARGE(nigeria_food_insecurity_all_sta!F$2:F$38,A30)</f>
        <v>215000</v>
      </c>
      <c r="E30" s="62">
        <f>D30/SUM(nigeria_food_insecurity_all_sta!F$2:F$38)*100</f>
        <v>0.728097802160588</v>
      </c>
    </row>
    <row r="31" spans="1:5">
      <c r="A31">
        <v>29</v>
      </c>
      <c r="B31" t="str" cm="1">
        <f t="array" ref="B31">INDEX(nigeria_food_insecurity_all_sta!A$2:A$38,MATCH(LARGE(nigeria_food_insecurity_all_sta!F$2:F$38,A31),nigeria_food_insecurity_all_sta!F$2:F$38,0))</f>
        <v>Edo</v>
      </c>
      <c r="C31" t="str" cm="1">
        <f t="array" ref="C31">INDEX(nigeria_food_insecurity_all_sta!B$2:B$38,MATCH(LARGE(nigeria_food_insecurity_all_sta!F$2:F$38,A31),nigeria_food_insecurity_all_sta!F$2:F$38,0))</f>
        <v>South South</v>
      </c>
      <c r="D31">
        <f>LARGE(nigeria_food_insecurity_all_sta!F$2:F$38,A31)</f>
        <v>210000</v>
      </c>
      <c r="E31" s="62">
        <f>D31/SUM(nigeria_food_insecurity_all_sta!F$2:F$38)*100</f>
        <v>0.711165295133597</v>
      </c>
    </row>
    <row r="32" spans="1:5">
      <c r="A32">
        <v>30</v>
      </c>
      <c r="B32" t="str" cm="1">
        <f t="array" ref="B32">INDEX(nigeria_food_insecurity_all_sta!A$2:A$38,MATCH(LARGE(nigeria_food_insecurity_all_sta!F$2:F$38,A32),nigeria_food_insecurity_all_sta!F$2:F$38,0))</f>
        <v>Akwa Ibom</v>
      </c>
      <c r="C32" t="str" cm="1">
        <f t="array" ref="C32">INDEX(nigeria_food_insecurity_all_sta!B$2:B$38,MATCH(LARGE(nigeria_food_insecurity_all_sta!F$2:F$38,A32),nigeria_food_insecurity_all_sta!F$2:F$38,0))</f>
        <v>South South</v>
      </c>
      <c r="D32">
        <f>LARGE(nigeria_food_insecurity_all_sta!F$2:F$38,A32)</f>
        <v>205000</v>
      </c>
      <c r="E32" s="62">
        <f>D32/SUM(nigeria_food_insecurity_all_sta!F$2:F$38)*100</f>
        <v>0.694232788106607</v>
      </c>
    </row>
    <row r="33" spans="1:5">
      <c r="A33">
        <v>31</v>
      </c>
      <c r="B33" t="str" cm="1">
        <f t="array" ref="B33">INDEX(nigeria_food_insecurity_all_sta!A$2:A$38,MATCH(LARGE(nigeria_food_insecurity_all_sta!F$2:F$38,A33),nigeria_food_insecurity_all_sta!F$2:F$38,0))</f>
        <v>Enugu</v>
      </c>
      <c r="C33" t="str" cm="1">
        <f t="array" ref="C33">INDEX(nigeria_food_insecurity_all_sta!B$2:B$38,MATCH(LARGE(nigeria_food_insecurity_all_sta!F$2:F$38,A33),nigeria_food_insecurity_all_sta!F$2:F$38,0))</f>
        <v>South East</v>
      </c>
      <c r="D33">
        <f>LARGE(nigeria_food_insecurity_all_sta!F$2:F$38,A33)</f>
        <v>200000</v>
      </c>
      <c r="E33" s="62">
        <f>D33/SUM(nigeria_food_insecurity_all_sta!F$2:F$38)*100</f>
        <v>0.677300281079617</v>
      </c>
    </row>
    <row r="34" spans="1:5">
      <c r="A34">
        <v>32</v>
      </c>
      <c r="B34" t="str" cm="1">
        <f t="array" ref="B34">INDEX(nigeria_food_insecurity_all_sta!A$2:A$38,MATCH(LARGE(nigeria_food_insecurity_all_sta!F$2:F$38,A34),nigeria_food_insecurity_all_sta!F$2:F$38,0))</f>
        <v>Osun</v>
      </c>
      <c r="C34" t="str" cm="1">
        <f t="array" ref="C34">INDEX(nigeria_food_insecurity_all_sta!B$2:B$38,MATCH(LARGE(nigeria_food_insecurity_all_sta!F$2:F$38,A34),nigeria_food_insecurity_all_sta!F$2:F$38,0))</f>
        <v>South West</v>
      </c>
      <c r="D34">
        <f>LARGE(nigeria_food_insecurity_all_sta!F$2:F$38,A34)</f>
        <v>195000</v>
      </c>
      <c r="E34" s="62">
        <f>D34/SUM(nigeria_food_insecurity_all_sta!F$2:F$38)*100</f>
        <v>0.660367774052626</v>
      </c>
    </row>
    <row r="35" spans="1:5">
      <c r="A35">
        <v>33</v>
      </c>
      <c r="B35" t="str" cm="1">
        <f t="array" ref="B35">INDEX(nigeria_food_insecurity_all_sta!A$2:A$38,MATCH(LARGE(nigeria_food_insecurity_all_sta!F$2:F$38,A35),nigeria_food_insecurity_all_sta!F$2:F$38,0))</f>
        <v>Imo</v>
      </c>
      <c r="C35" t="str" cm="1">
        <f t="array" ref="C35">INDEX(nigeria_food_insecurity_all_sta!B$2:B$38,MATCH(LARGE(nigeria_food_insecurity_all_sta!F$2:F$38,A35),nigeria_food_insecurity_all_sta!F$2:F$38,0))</f>
        <v>South East</v>
      </c>
      <c r="D35">
        <f>LARGE(nigeria_food_insecurity_all_sta!F$2:F$38,A35)</f>
        <v>194000</v>
      </c>
      <c r="E35" s="62">
        <f>D35/SUM(nigeria_food_insecurity_all_sta!F$2:F$38)*100</f>
        <v>0.656981272647228</v>
      </c>
    </row>
    <row r="36" spans="1:5">
      <c r="A36">
        <v>34</v>
      </c>
      <c r="B36" t="str" cm="1">
        <f t="array" ref="B36">INDEX(nigeria_food_insecurity_all_sta!A$2:A$38,MATCH(LARGE(nigeria_food_insecurity_all_sta!F$2:F$38,A36),nigeria_food_insecurity_all_sta!F$2:F$38,0))</f>
        <v>Ebonyi</v>
      </c>
      <c r="C36" t="str" cm="1">
        <f t="array" ref="C36">INDEX(nigeria_food_insecurity_all_sta!B$2:B$38,MATCH(LARGE(nigeria_food_insecurity_all_sta!F$2:F$38,A36),nigeria_food_insecurity_all_sta!F$2:F$38,0))</f>
        <v>South East</v>
      </c>
      <c r="D36">
        <f>LARGE(nigeria_food_insecurity_all_sta!F$2:F$38,A36)</f>
        <v>192000</v>
      </c>
      <c r="E36" s="62">
        <f>D36/SUM(nigeria_food_insecurity_all_sta!F$2:F$38)*100</f>
        <v>0.650208269836432</v>
      </c>
    </row>
    <row r="37" spans="1:5">
      <c r="A37">
        <v>35</v>
      </c>
      <c r="B37" t="str" cm="1">
        <f t="array" ref="B37">INDEX(nigeria_food_insecurity_all_sta!A$2:A$38,MATCH(LARGE(nigeria_food_insecurity_all_sta!F$2:F$38,A37),nigeria_food_insecurity_all_sta!F$2:F$38,0))</f>
        <v>Abia</v>
      </c>
      <c r="C37" t="str" cm="1">
        <f t="array" ref="C37">INDEX(nigeria_food_insecurity_all_sta!B$2:B$38,MATCH(LARGE(nigeria_food_insecurity_all_sta!F$2:F$38,A37),nigeria_food_insecurity_all_sta!F$2:F$38,0))</f>
        <v>South East</v>
      </c>
      <c r="D37">
        <f>LARGE(nigeria_food_insecurity_all_sta!F$2:F$38,A37)</f>
        <v>180000</v>
      </c>
      <c r="E37" s="62">
        <f>D37/SUM(nigeria_food_insecurity_all_sta!F$2:F$38)*100</f>
        <v>0.609570252971655</v>
      </c>
    </row>
    <row r="38" spans="1:5">
      <c r="A38">
        <v>36</v>
      </c>
      <c r="B38" t="str" cm="1">
        <f t="array" ref="B38">INDEX(nigeria_food_insecurity_all_sta!A$2:A$38,MATCH(LARGE(nigeria_food_insecurity_all_sta!F$2:F$38,A38),nigeria_food_insecurity_all_sta!F$2:F$38,0))</f>
        <v>Bayelsa</v>
      </c>
      <c r="C38" t="str" cm="1">
        <f t="array" ref="C38">INDEX(nigeria_food_insecurity_all_sta!B$2:B$38,MATCH(LARGE(nigeria_food_insecurity_all_sta!F$2:F$38,A38),nigeria_food_insecurity_all_sta!F$2:F$38,0))</f>
        <v>South South</v>
      </c>
      <c r="D38">
        <f>LARGE(nigeria_food_insecurity_all_sta!F$2:F$38,A38)</f>
        <v>168000</v>
      </c>
      <c r="E38" s="62">
        <f>D38/SUM(nigeria_food_insecurity_all_sta!F$2:F$38)*100</f>
        <v>0.568932236106878</v>
      </c>
    </row>
    <row r="39" spans="1:5">
      <c r="A39">
        <v>37</v>
      </c>
      <c r="B39" t="str" cm="1">
        <f t="array" ref="B39">INDEX(nigeria_food_insecurity_all_sta!A$2:A$38,MATCH(LARGE(nigeria_food_insecurity_all_sta!F$2:F$38,A39),nigeria_food_insecurity_all_sta!F$2:F$38,0))</f>
        <v>Ekiti</v>
      </c>
      <c r="C39" t="str" cm="1">
        <f t="array" ref="C39">INDEX(nigeria_food_insecurity_all_sta!B$2:B$38,MATCH(LARGE(nigeria_food_insecurity_all_sta!F$2:F$38,A39),nigeria_food_insecurity_all_sta!F$2:F$38,0))</f>
        <v>South West</v>
      </c>
      <c r="D39">
        <f>LARGE(nigeria_food_insecurity_all_sta!F$2:F$38,A39)</f>
        <v>160000</v>
      </c>
      <c r="E39" s="62">
        <f>D39/SUM(nigeria_food_insecurity_all_sta!F$2:F$38)*100</f>
        <v>0.541840224863693</v>
      </c>
    </row>
    <row r="41" s="64" customFormat="1" spans="1:5">
      <c r="A41" s="111" t="s">
        <v>74</v>
      </c>
      <c r="B41" s="112">
        <f>SUM(nigeria_food_insecurity_all_sta!F$2:F$40)</f>
        <v>29529000</v>
      </c>
      <c r="C41" s="113"/>
    </row>
    <row r="42" spans="1:5">
      <c r="A42" s="114" t="s">
        <v>75</v>
      </c>
      <c r="B42" s="115">
        <f>SUMIF(nigeria_food_insecurity_all_sta!B$2:B$38,"North*",nigeria_food_insecurity_all_sta!F$2:F$38)</f>
        <v>25440000</v>
      </c>
    </row>
    <row r="43" ht="15.75" spans="1:5">
      <c r="A43" s="116" t="s">
        <v>76</v>
      </c>
      <c r="B43" s="117">
        <f>SUMIF(nigeria_food_insecurity_all_sta!B$2:B$38,"South*",nigeria_food_insecurity_all_sta!F$2:F$38)</f>
        <v>4089000</v>
      </c>
    </row>
  </sheetData>
  <mergeCells count="1">
    <mergeCell ref="A1:D1"/>
  </mergeCells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F1"/>
    </sheetView>
  </sheetViews>
  <sheetFormatPr defaultColWidth="9.14285714285714" defaultRowHeight="15" outlineLevelCol="6"/>
  <cols>
    <col min="1" max="1" width="14.4285714285714" customWidth="1"/>
    <col min="2" max="5" width="9.57142857142857"/>
    <col min="6" max="6" width="19.2857142857143" customWidth="1"/>
    <col min="7" max="7" width="13" style="62" customWidth="1"/>
  </cols>
  <sheetData>
    <row r="1" ht="18.75" spans="1:7">
      <c r="A1" s="95" t="s">
        <v>77</v>
      </c>
      <c r="B1" s="95"/>
      <c r="C1" s="95"/>
      <c r="D1" s="95"/>
      <c r="E1" s="95"/>
      <c r="F1" s="95"/>
    </row>
    <row r="3" s="64" customFormat="1" spans="1:7">
      <c r="A3" s="96" t="s">
        <v>1</v>
      </c>
      <c r="B3" s="93">
        <v>2022</v>
      </c>
      <c r="C3" s="93">
        <v>2023</v>
      </c>
      <c r="D3" s="93">
        <v>2024</v>
      </c>
      <c r="E3" s="93">
        <v>2025</v>
      </c>
      <c r="F3" s="97" t="s">
        <v>78</v>
      </c>
      <c r="G3" s="98" t="s">
        <v>79</v>
      </c>
    </row>
    <row r="4" spans="1:7">
      <c r="A4" s="99" t="s">
        <v>16</v>
      </c>
      <c r="B4" s="100">
        <f>SUMIF(nigeria_food_insecurity_all_sta!$B$2:$B$38,"North East",nigeria_food_insecurity_all_sta!$C$2:$C$38)</f>
        <v>5005554</v>
      </c>
      <c r="C4" s="100">
        <f>SUMIF(nigeria_food_insecurity_all_sta!$B$2:$B$38,"North East",nigeria_food_insecurity_all_sta!$D$2:$D$38)</f>
        <v>5930000</v>
      </c>
      <c r="D4" s="100">
        <f>SUMIF(nigeria_food_insecurity_all_sta!$B$2:$B$38,"North East",nigeria_food_insecurity_all_sta!$E$2:$E$38)</f>
        <v>6673738</v>
      </c>
      <c r="E4" s="100">
        <f>SUMIF(nigeria_food_insecurity_all_sta!$B$2:$B$38,"North East",nigeria_food_insecurity_all_sta!$F$2:$F$38)</f>
        <v>8410000</v>
      </c>
      <c r="F4" s="100">
        <f>E4-B4</f>
        <v>3404446</v>
      </c>
      <c r="G4" s="101">
        <f>(E4-B4)/B4*100</f>
        <v>68.0133707477734</v>
      </c>
    </row>
    <row r="5" spans="1:7">
      <c r="A5" s="75" t="s">
        <v>45</v>
      </c>
      <c r="B5">
        <f>SUMIF(nigeria_food_insecurity_all_sta!$B$2:$B$38,"North West",nigeria_food_insecurity_all_sta!$C$2:$C$38)</f>
        <v>7080000</v>
      </c>
      <c r="C5">
        <f>SUMIF(nigeria_food_insecurity_all_sta!$B$2:$B$38,"North West",nigeria_food_insecurity_all_sta!$D$2:$D$38)</f>
        <v>8220000</v>
      </c>
      <c r="D5">
        <f>SUMIF(nigeria_food_insecurity_all_sta!$B$2:$B$38,"North West",nigeria_food_insecurity_all_sta!$E$2:$E$38)</f>
        <v>9413994</v>
      </c>
      <c r="E5">
        <f>SUMIF(nigeria_food_insecurity_all_sta!$B$2:$B$38,"North West",nigeria_food_insecurity_all_sta!$F$2:$F$38)</f>
        <v>11100000</v>
      </c>
      <c r="F5">
        <f>E5-B5</f>
        <v>4020000</v>
      </c>
      <c r="G5" s="102">
        <f>(E5-B5)/B5*100</f>
        <v>56.7796610169492</v>
      </c>
    </row>
    <row r="6" spans="1:7">
      <c r="A6" s="75" t="s">
        <v>28</v>
      </c>
      <c r="B6">
        <f>SUMIF(nigeria_food_insecurity_all_sta!$B$2:$B$38,"North Central",nigeria_food_insecurity_all_sta!$C$2:$C$38)</f>
        <v>3338000</v>
      </c>
      <c r="C6">
        <f>SUMIF(nigeria_food_insecurity_all_sta!$B$2:$B$38,"North Central",nigeria_food_insecurity_all_sta!$D$2:$D$38)</f>
        <v>4055000</v>
      </c>
      <c r="D6">
        <f>SUMIF(nigeria_food_insecurity_all_sta!$B$2:$B$38,"North Central",nigeria_food_insecurity_all_sta!$E$2:$E$38)</f>
        <v>4904825</v>
      </c>
      <c r="E6">
        <f>SUMIF(nigeria_food_insecurity_all_sta!$B$2:$B$38,"North Central",nigeria_food_insecurity_all_sta!$F$2:$F$38)</f>
        <v>5930000</v>
      </c>
      <c r="F6">
        <f>E6-B6</f>
        <v>2592000</v>
      </c>
      <c r="G6" s="102">
        <f>(E6-B6)/B6*100</f>
        <v>77.6512881965249</v>
      </c>
    </row>
    <row r="7" spans="1:7">
      <c r="A7" s="75" t="s">
        <v>38</v>
      </c>
      <c r="B7">
        <f>SUMIF(nigeria_food_insecurity_all_sta!$B$2:$B$38,"South West",nigeria_food_insecurity_all_sta!$C$2:$C$38)</f>
        <v>716000</v>
      </c>
      <c r="C7">
        <f>SUMIF(nigeria_food_insecurity_all_sta!$B$2:$B$38,"South West",nigeria_food_insecurity_all_sta!$D$2:$D$38)</f>
        <v>972000</v>
      </c>
      <c r="D7">
        <f>SUMIF(nigeria_food_insecurity_all_sta!$B$2:$B$38,"South West",nigeria_food_insecurity_all_sta!$E$2:$E$38)</f>
        <v>1321000</v>
      </c>
      <c r="E7">
        <f>SUMIF(nigeria_food_insecurity_all_sta!$B$2:$B$38,"South West",nigeria_food_insecurity_all_sta!$F$2:$F$38)</f>
        <v>1682000</v>
      </c>
      <c r="F7">
        <f>E7-B7</f>
        <v>966000</v>
      </c>
      <c r="G7" s="102">
        <f>(E7-B7)/B7*100</f>
        <v>134.916201117318</v>
      </c>
    </row>
    <row r="8" spans="1:7">
      <c r="A8" s="75" t="s">
        <v>21</v>
      </c>
      <c r="B8">
        <f>SUMIF(nigeria_food_insecurity_all_sta!$B$2:$B$38,"South South",nigeria_food_insecurity_all_sta!$C$2:$C$38)</f>
        <v>638000</v>
      </c>
      <c r="C8">
        <f>SUMIF(nigeria_food_insecurity_all_sta!$B$2:$B$38,"South South",nigeria_food_insecurity_all_sta!$D$2:$D$38)</f>
        <v>853000</v>
      </c>
      <c r="D8">
        <f>SUMIF(nigeria_food_insecurity_all_sta!$B$2:$B$38,"South South",nigeria_food_insecurity_all_sta!$E$2:$E$38)</f>
        <v>1140000</v>
      </c>
      <c r="E8">
        <f>SUMIF(nigeria_food_insecurity_all_sta!$B$2:$B$38,"South South",nigeria_food_insecurity_all_sta!$F$2:$F$38)</f>
        <v>1426000</v>
      </c>
      <c r="F8">
        <f>E8-B8</f>
        <v>788000</v>
      </c>
      <c r="G8" s="102">
        <f>(E8-B8)/B8*100</f>
        <v>123.510971786834</v>
      </c>
    </row>
    <row r="9" spans="1:7">
      <c r="A9" s="75" t="s">
        <v>11</v>
      </c>
      <c r="B9">
        <f>SUMIF(nigeria_food_insecurity_all_sta!$B$2:$B$38,"South East",nigeria_food_insecurity_all_sta!$C$2:$C$38)</f>
        <v>453000</v>
      </c>
      <c r="C9">
        <f>SUMIF(nigeria_food_insecurity_all_sta!$B$2:$B$38,"South East",nigeria_food_insecurity_all_sta!$D$2:$D$38)</f>
        <v>603000</v>
      </c>
      <c r="D9">
        <f>SUMIF(nigeria_food_insecurity_all_sta!$B$2:$B$38,"South East",nigeria_food_insecurity_all_sta!$E$2:$E$38)</f>
        <v>787000</v>
      </c>
      <c r="E9">
        <f>SUMIF(nigeria_food_insecurity_all_sta!$B$2:$B$38,"South East",nigeria_food_insecurity_all_sta!$F$2:$F$38)</f>
        <v>981000</v>
      </c>
      <c r="F9">
        <f>E9-B9</f>
        <v>528000</v>
      </c>
      <c r="G9" s="102">
        <f>(E9-B9)/B9*100</f>
        <v>116.556291390728</v>
      </c>
    </row>
    <row r="10" spans="1:7">
      <c r="A10" s="81"/>
      <c r="B10" s="103"/>
      <c r="C10" s="103"/>
      <c r="D10" s="103"/>
      <c r="E10" s="103"/>
      <c r="F10" s="103"/>
      <c r="G10" s="104"/>
    </row>
    <row r="11" s="64" customFormat="1" spans="1:7">
      <c r="A11" s="105" t="s">
        <v>80</v>
      </c>
      <c r="B11" s="106">
        <f>SUM(B4:B9)</f>
        <v>17230554</v>
      </c>
      <c r="C11" s="106">
        <f>SUM(C4:C9)</f>
        <v>20633000</v>
      </c>
      <c r="D11" s="106">
        <f>SUM(D4:D9)</f>
        <v>24240557</v>
      </c>
      <c r="E11" s="106">
        <f>SUM(E4:E9)</f>
        <v>29529000</v>
      </c>
      <c r="F11" s="106">
        <f>SUM(E11-B11)</f>
        <v>12298446</v>
      </c>
      <c r="G11" s="107">
        <f>(E11-B11)/B11*100</f>
        <v>71.3758013816619</v>
      </c>
    </row>
  </sheetData>
  <mergeCells count="1">
    <mergeCell ref="A1:F1"/>
  </mergeCells>
  <pageMargins left="0.75" right="0.75" top="1" bottom="1" header="0.5" footer="0.5"/>
  <headerFooter/>
  <ignoredErrors>
    <ignoredError sqref="C4:C9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90" zoomScaleNormal="90" workbookViewId="0">
      <selection activeCell="A1" sqref="A1:C1"/>
    </sheetView>
  </sheetViews>
  <sheetFormatPr defaultColWidth="9.14285714285714" defaultRowHeight="15" outlineLevelCol="6"/>
  <cols>
    <col min="1" max="1" width="23.1428571428571" customWidth="1"/>
    <col min="2" max="2" width="10.7142857142857" customWidth="1"/>
    <col min="3" max="3" width="30.5714285714286" customWidth="1"/>
    <col min="4" max="4" width="10.7142857142857" customWidth="1"/>
    <col min="6" max="6" width="19.4285714285714" customWidth="1"/>
    <col min="7" max="7" width="20.5714285714286" customWidth="1"/>
  </cols>
  <sheetData>
    <row r="1" ht="18.75" spans="1:7">
      <c r="A1" s="65" t="s">
        <v>81</v>
      </c>
      <c r="B1" s="65"/>
      <c r="C1" s="65"/>
    </row>
    <row r="3" s="64" customFormat="1" spans="1:7">
      <c r="A3" s="66" t="s">
        <v>7</v>
      </c>
      <c r="B3" s="67" t="s">
        <v>82</v>
      </c>
      <c r="C3" s="67" t="s">
        <v>83</v>
      </c>
      <c r="D3" s="68" t="s">
        <v>73</v>
      </c>
      <c r="F3" s="69" t="s">
        <v>84</v>
      </c>
      <c r="G3" s="70" t="s">
        <v>85</v>
      </c>
    </row>
    <row r="4" spans="1:7">
      <c r="A4" s="71" t="s">
        <v>18</v>
      </c>
      <c r="B4" s="72">
        <f>COUNTIF(nigeria_food_insecurity_all_sta!$H$2:$H$38,A4)</f>
        <v>4</v>
      </c>
      <c r="C4" s="73">
        <f>SUMIF(nigeria_food_insecurity_all_sta!$H$2:$H$38,A4,nigeria_food_insecurity_all_sta!$F$2:$F$38)</f>
        <v>6470000</v>
      </c>
      <c r="D4" s="74">
        <f>C4/SUM($C$4:$C$13)*100</f>
        <v>23.4598788933609</v>
      </c>
      <c r="F4" s="75" t="s">
        <v>86</v>
      </c>
      <c r="G4" s="76">
        <f>SUMIF(nigeria_food_insecurity_all_sta!$H$2:$H$38,"Conflict",nigeria_food_insecurity_all_sta!$F$2:$F$38)+SUMIF(nigeria_food_insecurity_all_sta!$H$2:$H$38,"Conflict &amp; Banditry",nigeria_food_insecurity_all_sta!$F$2:$F$38)+SUMIF(nigeria_food_insecurity_all_sta!$H$2:$H$38,"Conflict &amp; Drought",nigeria_food_insecurity_all_sta!$F$2:$F$38)+SUMIF(nigeria_food_insecurity_all_sta!$H$2:$H$38,"Conflict (Farmer-Herder)",nigeria_food_insecurity_all_sta!$F$2:$F$38)</f>
        <v>16025000</v>
      </c>
    </row>
    <row r="5" spans="1:7">
      <c r="A5" s="77" t="s">
        <v>48</v>
      </c>
      <c r="B5" s="78">
        <f>COUNTIF(nigeria_food_insecurity_all_sta!$H$2:$H$38,A5)</f>
        <v>2</v>
      </c>
      <c r="C5" s="79">
        <f>SUMIF(nigeria_food_insecurity_all_sta!$H$2:$H$38,A5,nigeria_food_insecurity_all_sta!$F$2:$F$38)</f>
        <v>3890000</v>
      </c>
      <c r="D5" s="80">
        <f>C5/SUM($C$4:$C$13)*100</f>
        <v>14.1049349142463</v>
      </c>
      <c r="F5" s="75" t="s">
        <v>87</v>
      </c>
      <c r="G5" s="76">
        <f>SUMIF(nigeria_food_insecurity_all_sta!$H$2:$H$38,"Inflation",nigeria_food_insecurity_all_sta!$F$2:$F$38)+SUMIF(nigeria_food_insecurity_all_sta!$H$2:$H$38,"Inflation &amp; Flooding",nigeria_food_insecurity_all_sta!$F$2:$F$38)</f>
        <v>5644000</v>
      </c>
    </row>
    <row r="6" spans="1:7">
      <c r="A6" s="77" t="s">
        <v>25</v>
      </c>
      <c r="B6" s="78">
        <f>COUNTIF(nigeria_food_insecurity_all_sta!$H$2:$H$38,A6)</f>
        <v>2</v>
      </c>
      <c r="C6" s="79">
        <f>SUMIF(nigeria_food_insecurity_all_sta!$H$2:$H$38,A6,nigeria_food_insecurity_all_sta!$F$2:$F$38)</f>
        <v>2930000</v>
      </c>
      <c r="D6" s="80">
        <f>C6/SUM($C$4:$C$13)*100</f>
        <v>10.6240255266688</v>
      </c>
      <c r="F6" s="75" t="s">
        <v>88</v>
      </c>
      <c r="G6" s="76">
        <f>SUMIF(nigeria_food_insecurity_all_sta!$H$2:$H$38,"Flooding",nigeria_food_insecurity_all_sta!$F$2:$F$38)+SUMIF(nigeria_food_insecurity_all_sta!$H$2:$H$38,"Flooding &amp; Conflict",nigeria_food_insecurity_all_sta!$F$2:$F$38)</f>
        <v>2520000</v>
      </c>
    </row>
    <row r="7" spans="1:7">
      <c r="A7" s="77" t="s">
        <v>29</v>
      </c>
      <c r="B7" s="78">
        <f>COUNTIF(nigeria_food_insecurity_all_sta!$H$2:$H$38,A7)</f>
        <v>3</v>
      </c>
      <c r="C7" s="79">
        <f>SUMIF(nigeria_food_insecurity_all_sta!$H$2:$H$38,A7,nigeria_food_insecurity_all_sta!$F$2:$F$38)</f>
        <v>2735000</v>
      </c>
      <c r="D7" s="80">
        <f>C7/SUM($C$4:$C$13)*100</f>
        <v>9.91696580731716</v>
      </c>
      <c r="F7" s="81" t="s">
        <v>89</v>
      </c>
      <c r="G7" s="82">
        <f>SUMIF(nigeria_food_insecurity_all_sta!$H$2:$H$38,"Drought &amp; Conflict",nigeria_food_insecurity_all_sta!$F$2:$F$38)</f>
        <v>2240000</v>
      </c>
    </row>
    <row r="8" spans="1:7">
      <c r="A8" s="77" t="s">
        <v>42</v>
      </c>
      <c r="B8" s="78">
        <f>COUNTIF(nigeria_food_insecurity_all_sta!$H$2:$H$38,A8)</f>
        <v>2</v>
      </c>
      <c r="C8" s="79">
        <f>SUMIF(nigeria_food_insecurity_all_sta!$H$2:$H$38,A8,nigeria_food_insecurity_all_sta!$F$2:$F$38)</f>
        <v>2240000</v>
      </c>
      <c r="D8" s="80">
        <f>C8/SUM($C$4:$C$13)*100</f>
        <v>8.12212190434751</v>
      </c>
    </row>
    <row r="9" spans="1:7">
      <c r="A9" s="77" t="s">
        <v>46</v>
      </c>
      <c r="B9" s="78">
        <f>COUNTIF(nigeria_food_insecurity_all_sta!$H$2:$H$38,A9)</f>
        <v>1</v>
      </c>
      <c r="C9" s="79">
        <f>SUMIF(nigeria_food_insecurity_all_sta!$H$2:$H$38,A9,nigeria_food_insecurity_all_sta!$F$2:$F$38)</f>
        <v>1150000</v>
      </c>
      <c r="D9" s="80">
        <f>C9/SUM($C$4:$C$13)*100</f>
        <v>4.16983937053555</v>
      </c>
    </row>
    <row r="10" spans="1:7">
      <c r="A10" s="77" t="s">
        <v>53</v>
      </c>
      <c r="B10" s="78">
        <f>COUNTIF(nigeria_food_insecurity_all_sta!$H$2:$H$38,A10)</f>
        <v>1</v>
      </c>
      <c r="C10" s="79">
        <f>SUMIF(nigeria_food_insecurity_all_sta!$H$2:$H$38,A10,nigeria_food_insecurity_all_sta!$F$2:$F$38)</f>
        <v>880000</v>
      </c>
      <c r="D10" s="80">
        <f>C10/SUM($C$4:$C$13)*100</f>
        <v>3.19083360527938</v>
      </c>
    </row>
    <row r="11" spans="1:7">
      <c r="A11" s="77" t="s">
        <v>59</v>
      </c>
      <c r="B11" s="78">
        <f>COUNTIF(nigeria_food_insecurity_all_sta!$H$2:$H$38,A11)</f>
        <v>1</v>
      </c>
      <c r="C11" s="79">
        <f>SUMIF(nigeria_food_insecurity_all_sta!$H$2:$H$38,A11,nigeria_food_insecurity_all_sta!$F$2:$F$38)</f>
        <v>1640000</v>
      </c>
      <c r="D11" s="80">
        <f>C11/SUM($C$4:$C$13)*100</f>
        <v>5.94655353711157</v>
      </c>
    </row>
    <row r="12" spans="1:7">
      <c r="A12" s="77" t="s">
        <v>13</v>
      </c>
      <c r="B12" s="78">
        <f>COUNTIF(nigeria_food_insecurity_all_sta!$H$2:$H$38,A12)</f>
        <v>18</v>
      </c>
      <c r="C12" s="79">
        <f>SUMIF(nigeria_food_insecurity_all_sta!$H$2:$H$38,A12,nigeria_food_insecurity_all_sta!$F$2:$F$38)</f>
        <v>4789000</v>
      </c>
      <c r="D12" s="80">
        <f>C12/SUM($C$4:$C$13)*100</f>
        <v>17.3646615178215</v>
      </c>
    </row>
    <row r="13" spans="1:7">
      <c r="A13" s="83" t="s">
        <v>33</v>
      </c>
      <c r="B13" s="84">
        <f>COUNTIF(nigeria_food_insecurity_all_sta!$H$2:$H$38,A13)</f>
        <v>2</v>
      </c>
      <c r="C13" s="85">
        <f>SUMIF(nigeria_food_insecurity_all_sta!$H$2:$H$38,A13,nigeria_food_insecurity_all_sta!$F$2:$F$38)</f>
        <v>855000</v>
      </c>
      <c r="D13" s="86">
        <f>C13/SUM($C$4:$C$13)*100</f>
        <v>3.10018492331121</v>
      </c>
    </row>
    <row r="14" spans="1:7">
      <c r="A14" s="87" t="s">
        <v>50</v>
      </c>
      <c r="B14" s="88">
        <f>COUNTIF(nigeria_food_insecurity_all_sta!$H$2:$H$38,A14)</f>
        <v>1</v>
      </c>
      <c r="C14" s="89">
        <f>SUMIF(nigeria_food_insecurity_all_sta!$H$2:$H$38,A14,nigeria_food_insecurity_all_sta!$F$2:$F$38)</f>
        <v>1950000</v>
      </c>
      <c r="D14" s="90">
        <f>C14/SUM($C$4:$C$13)*100</f>
        <v>7.07059719351681</v>
      </c>
    </row>
    <row r="15" spans="1:7">
      <c r="A15" s="91" t="s">
        <v>90</v>
      </c>
      <c r="B15" s="92">
        <f>SUM(B4:B14)</f>
        <v>37</v>
      </c>
      <c r="C15" s="93">
        <f>SUM(C4:C14)</f>
        <v>29529000</v>
      </c>
      <c r="D15" s="94">
        <f>SUM(D4:D13)</f>
        <v>100</v>
      </c>
    </row>
  </sheetData>
  <mergeCells count="1">
    <mergeCell ref="A1:C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zoomScale="70" zoomScaleNormal="70" workbookViewId="0">
      <selection activeCell="D2" sqref="D2"/>
    </sheetView>
  </sheetViews>
  <sheetFormatPr defaultColWidth="9.14285714285714" defaultRowHeight="15" outlineLevelCol="7"/>
  <cols>
    <col min="2" max="2" width="11.2857142857143" customWidth="1"/>
    <col min="3" max="3" width="14" customWidth="1"/>
    <col min="4" max="4" width="33.1428571428571" customWidth="1"/>
    <col min="5" max="5" width="23.2857142857143" customWidth="1"/>
    <col min="8" max="8" width="25.5714285714286" customWidth="1"/>
  </cols>
  <sheetData>
    <row r="1" ht="18.75" spans="1:8">
      <c r="A1" s="60" t="s">
        <v>91</v>
      </c>
      <c r="B1" s="60"/>
      <c r="C1" s="60"/>
      <c r="D1" s="60"/>
    </row>
    <row r="3" s="59" customFormat="1" ht="15.75" spans="1:8">
      <c r="A3" s="61" t="s">
        <v>71</v>
      </c>
      <c r="B3" s="61" t="s">
        <v>0</v>
      </c>
      <c r="C3" s="61" t="s">
        <v>1</v>
      </c>
      <c r="D3" s="61" t="s">
        <v>92</v>
      </c>
      <c r="E3" s="61" t="s">
        <v>93</v>
      </c>
      <c r="G3" s="59" t="s">
        <v>0</v>
      </c>
      <c r="H3" s="59" t="s">
        <v>94</v>
      </c>
    </row>
    <row r="4" spans="1:8">
      <c r="A4">
        <v>1</v>
      </c>
      <c r="B4" t="str" cm="1">
        <f t="array" ref="B4">INDEX(nigeria_food_insecurity_all_sta!$A$2:$A$38,MATCH(LARGE(nigeria_food_insecurity_all_sta!$I$2:$I$38,A4),nigeria_food_insecurity_all_sta!$I$2:$I$38,0))</f>
        <v>Borno</v>
      </c>
      <c r="C4" t="str" cm="1">
        <f t="array" ref="C4">INDEX(nigeria_food_insecurity_all_sta!$B$2:$B$38,MATCH(LARGE(nigeria_food_insecurity_all_sta!$I$2:$I$38,A4),nigeria_food_insecurity_all_sta!$I$2:$I$38,0))</f>
        <v>North East</v>
      </c>
      <c r="D4">
        <f>LARGE(nigeria_food_insecurity_all_sta!$I$2:$I$38,A4)</f>
        <v>890000</v>
      </c>
      <c r="E4" s="62">
        <f>D4/SUM(nigeria_food_insecurity_all_sta!$I$2:$I$38)*100</f>
        <v>9.94302312590772</v>
      </c>
      <c r="G4" t="str">
        <f>B4</f>
        <v>Borno</v>
      </c>
      <c r="H4">
        <f>D4</f>
        <v>890000</v>
      </c>
    </row>
    <row r="5" spans="1:8">
      <c r="A5">
        <v>2</v>
      </c>
      <c r="B5" t="str" cm="1">
        <f t="array" ref="B5">INDEX(nigeria_food_insecurity_all_sta!$A$2:$A$38,MATCH(LARGE(nigeria_food_insecurity_all_sta!$I$2:$I$38,A5),nigeria_food_insecurity_all_sta!$I$2:$I$38,0))</f>
        <v>Zamfara</v>
      </c>
      <c r="C5" t="str" cm="1">
        <f t="array" ref="C5">INDEX(nigeria_food_insecurity_all_sta!$B$2:$B$38,MATCH(LARGE(nigeria_food_insecurity_all_sta!$I$2:$I$38,A5),nigeria_food_insecurity_all_sta!$I$2:$I$38,0))</f>
        <v>North West</v>
      </c>
      <c r="D5">
        <f>LARGE(nigeria_food_insecurity_all_sta!$I$2:$I$38,A5)</f>
        <v>720000</v>
      </c>
      <c r="E5" s="62">
        <f>D5/SUM(nigeria_food_insecurity_all_sta!$I$2:$I$38)*100</f>
        <v>8.04379398949838</v>
      </c>
      <c r="G5" t="str">
        <f t="shared" ref="G5:G13" si="0">B5</f>
        <v>Zamfara</v>
      </c>
      <c r="H5">
        <f t="shared" ref="H5:H13" si="1">D5</f>
        <v>720000</v>
      </c>
    </row>
    <row r="6" spans="1:8">
      <c r="A6">
        <v>3</v>
      </c>
      <c r="B6" t="str" cm="1">
        <f t="array" ref="B6">INDEX(nigeria_food_insecurity_all_sta!$A$2:$A$38,MATCH(LARGE(nigeria_food_insecurity_all_sta!$I$2:$I$38,A6),nigeria_food_insecurity_all_sta!$I$2:$I$38,0))</f>
        <v>Katsina</v>
      </c>
      <c r="C6" t="str" cm="1">
        <f t="array" ref="C6">INDEX(nigeria_food_insecurity_all_sta!$B$2:$B$38,MATCH(LARGE(nigeria_food_insecurity_all_sta!$I$2:$I$38,A6),nigeria_food_insecurity_all_sta!$I$2:$I$38,0))</f>
        <v>North West</v>
      </c>
      <c r="D6">
        <f>LARGE(nigeria_food_insecurity_all_sta!$I$2:$I$38,A6)</f>
        <v>680000</v>
      </c>
      <c r="E6" s="62">
        <f>D6/SUM(nigeria_food_insecurity_all_sta!$I$2:$I$38)*100</f>
        <v>7.59691654563736</v>
      </c>
      <c r="G6" t="str">
        <f t="shared" si="0"/>
        <v>Katsina</v>
      </c>
      <c r="H6">
        <f t="shared" si="1"/>
        <v>680000</v>
      </c>
    </row>
    <row r="7" spans="1:8">
      <c r="A7">
        <v>4</v>
      </c>
      <c r="B7" t="str" cm="1">
        <f t="array" ref="B7">INDEX(nigeria_food_insecurity_all_sta!$A$2:$A$38,MATCH(LARGE(nigeria_food_insecurity_all_sta!$I$2:$I$38,A7),nigeria_food_insecurity_all_sta!$I$2:$I$38,0))</f>
        <v>Kaduna</v>
      </c>
      <c r="C7" t="str" cm="1">
        <f t="array" ref="C7">INDEX(nigeria_food_insecurity_all_sta!$B$2:$B$38,MATCH(LARGE(nigeria_food_insecurity_all_sta!$I$2:$I$38,A7),nigeria_food_insecurity_all_sta!$I$2:$I$38,0))</f>
        <v>North West</v>
      </c>
      <c r="D7">
        <f>LARGE(nigeria_food_insecurity_all_sta!$I$2:$I$38,A7)</f>
        <v>620000</v>
      </c>
      <c r="E7" s="62">
        <f>D7/SUM(nigeria_food_insecurity_all_sta!$I$2:$I$38)*100</f>
        <v>6.92660037984583</v>
      </c>
      <c r="G7" t="str">
        <f t="shared" si="0"/>
        <v>Kaduna</v>
      </c>
      <c r="H7">
        <f t="shared" si="1"/>
        <v>620000</v>
      </c>
    </row>
    <row r="8" spans="1:8">
      <c r="A8">
        <v>5</v>
      </c>
      <c r="B8" t="str" cm="1">
        <f t="array" ref="B8">INDEX(nigeria_food_insecurity_all_sta!$A$2:$A$38,MATCH(LARGE(nigeria_food_insecurity_all_sta!$I$2:$I$38,A8),nigeria_food_insecurity_all_sta!$I$2:$I$38,0))</f>
        <v>Kano</v>
      </c>
      <c r="C8" t="str" cm="1">
        <f t="array" ref="C8">INDEX(nigeria_food_insecurity_all_sta!$B$2:$B$38,MATCH(LARGE(nigeria_food_insecurity_all_sta!$I$2:$I$38,A8),nigeria_food_insecurity_all_sta!$I$2:$I$38,0))</f>
        <v>North West</v>
      </c>
      <c r="D8">
        <f>LARGE(nigeria_food_insecurity_all_sta!$I$2:$I$38,A8)</f>
        <v>590000</v>
      </c>
      <c r="E8" s="62">
        <f>D8/SUM(nigeria_food_insecurity_all_sta!$I$2:$I$38)*100</f>
        <v>6.59144229695006</v>
      </c>
      <c r="G8" t="str">
        <f t="shared" si="0"/>
        <v>Kano</v>
      </c>
      <c r="H8">
        <f t="shared" si="1"/>
        <v>590000</v>
      </c>
    </row>
    <row r="9" spans="1:8">
      <c r="A9">
        <v>6</v>
      </c>
      <c r="B9" t="str" cm="1">
        <f t="array" ref="B9">INDEX(nigeria_food_insecurity_all_sta!$A$2:$A$38,MATCH(LARGE(nigeria_food_insecurity_all_sta!$I$2:$I$38,A9),nigeria_food_insecurity_all_sta!$I$2:$I$38,0))</f>
        <v>Yobe</v>
      </c>
      <c r="C9" t="str" cm="1">
        <f t="array" ref="C9">INDEX(nigeria_food_insecurity_all_sta!$B$2:$B$38,MATCH(LARGE(nigeria_food_insecurity_all_sta!$I$2:$I$38,A9),nigeria_food_insecurity_all_sta!$I$2:$I$38,0))</f>
        <v>North East</v>
      </c>
      <c r="D9">
        <f>LARGE(nigeria_food_insecurity_all_sta!$I$2:$I$38,A9)</f>
        <v>580000</v>
      </c>
      <c r="E9" s="62">
        <f>D9/SUM(nigeria_food_insecurity_all_sta!$I$2:$I$38)*100</f>
        <v>6.47972293598481</v>
      </c>
      <c r="G9" t="str">
        <f t="shared" si="0"/>
        <v>Yobe</v>
      </c>
      <c r="H9">
        <f t="shared" si="1"/>
        <v>580000</v>
      </c>
    </row>
    <row r="10" spans="1:8">
      <c r="A10">
        <v>7</v>
      </c>
      <c r="B10" t="str" cm="1">
        <f t="array" ref="B10">INDEX(nigeria_food_insecurity_all_sta!$A$2:$A$38,MATCH(LARGE(nigeria_food_insecurity_all_sta!$I$2:$I$38,A10),nigeria_food_insecurity_all_sta!$I$2:$I$38,0))</f>
        <v>Sokoto</v>
      </c>
      <c r="C10" t="str" cm="1">
        <f t="array" ref="C10">INDEX(nigeria_food_insecurity_all_sta!$B$2:$B$38,MATCH(LARGE(nigeria_food_insecurity_all_sta!$I$2:$I$38,A10),nigeria_food_insecurity_all_sta!$I$2:$I$38,0))</f>
        <v>North West</v>
      </c>
      <c r="D10">
        <f>LARGE(nigeria_food_insecurity_all_sta!$I$2:$I$38,A10)</f>
        <v>490000</v>
      </c>
      <c r="E10" s="62">
        <f>D10/SUM(nigeria_food_insecurity_all_sta!$I$2:$I$38)*100</f>
        <v>5.47424868729751</v>
      </c>
      <c r="G10" t="str">
        <f t="shared" si="0"/>
        <v>Sokoto</v>
      </c>
      <c r="H10">
        <f t="shared" si="1"/>
        <v>490000</v>
      </c>
    </row>
    <row r="11" spans="1:8">
      <c r="A11">
        <v>8</v>
      </c>
      <c r="B11" t="str" cm="1">
        <f t="array" ref="B11">INDEX(nigeria_food_insecurity_all_sta!$A$2:$A$38,MATCH(LARGE(nigeria_food_insecurity_all_sta!$I$2:$I$38,A11),nigeria_food_insecurity_all_sta!$I$2:$I$38,0))</f>
        <v>Adamawa</v>
      </c>
      <c r="C11" t="str" cm="1">
        <f t="array" ref="C11">INDEX(nigeria_food_insecurity_all_sta!$B$2:$B$38,MATCH(LARGE(nigeria_food_insecurity_all_sta!$I$2:$I$38,A11),nigeria_food_insecurity_all_sta!$I$2:$I$38,0))</f>
        <v>North East</v>
      </c>
      <c r="D11">
        <f>LARGE(nigeria_food_insecurity_all_sta!$I$2:$I$38,A11)</f>
        <v>470000</v>
      </c>
      <c r="E11" s="62">
        <f>D11/SUM(nigeria_food_insecurity_all_sta!$I$2:$I$38)*100</f>
        <v>5.250809965367</v>
      </c>
      <c r="G11" t="str">
        <f t="shared" si="0"/>
        <v>Adamawa</v>
      </c>
      <c r="H11">
        <f t="shared" si="1"/>
        <v>470000</v>
      </c>
    </row>
    <row r="12" spans="1:8">
      <c r="A12">
        <v>9</v>
      </c>
      <c r="B12" t="str" cm="1">
        <f t="array" ref="B12">INDEX(nigeria_food_insecurity_all_sta!$A$2:$A$38,MATCH(LARGE(nigeria_food_insecurity_all_sta!$I$2:$I$38,A12),nigeria_food_insecurity_all_sta!$I$2:$I$38,0))</f>
        <v>Niger</v>
      </c>
      <c r="C12" t="str" cm="1">
        <f t="array" ref="C12">INDEX(nigeria_food_insecurity_all_sta!$B$2:$B$38,MATCH(LARGE(nigeria_food_insecurity_all_sta!$I$2:$I$38,A12),nigeria_food_insecurity_all_sta!$I$2:$I$38,0))</f>
        <v>North Central</v>
      </c>
      <c r="D12">
        <f>LARGE(nigeria_food_insecurity_all_sta!$I$2:$I$38,A12)</f>
        <v>420000</v>
      </c>
      <c r="E12" s="62">
        <f>D12/SUM(nigeria_food_insecurity_all_sta!$I$2:$I$38)*100</f>
        <v>4.69221316054072</v>
      </c>
      <c r="G12" t="str">
        <f t="shared" si="0"/>
        <v>Niger</v>
      </c>
      <c r="H12">
        <f t="shared" si="1"/>
        <v>420000</v>
      </c>
    </row>
    <row r="13" spans="1:8">
      <c r="A13">
        <v>10</v>
      </c>
      <c r="B13" t="str" cm="1">
        <f t="array" ref="B13">INDEX(nigeria_food_insecurity_all_sta!$A$2:$A$38,MATCH(LARGE(nigeria_food_insecurity_all_sta!$I$2:$I$38,A13),nigeria_food_insecurity_all_sta!$I$2:$I$38,0))</f>
        <v>Benue</v>
      </c>
      <c r="C13" t="str" cm="1">
        <f t="array" ref="C13">INDEX(nigeria_food_insecurity_all_sta!$B$2:$B$38,MATCH(LARGE(nigeria_food_insecurity_all_sta!$I$2:$I$38,A13),nigeria_food_insecurity_all_sta!$I$2:$I$38,0))</f>
        <v>North Central</v>
      </c>
      <c r="D13">
        <f>LARGE(nigeria_food_insecurity_all_sta!$I$2:$I$38,A13)</f>
        <v>380000</v>
      </c>
      <c r="E13" s="62">
        <f>D13/SUM(nigeria_food_insecurity_all_sta!$I$2:$I$38)*100</f>
        <v>4.2453357166797</v>
      </c>
      <c r="G13" t="str">
        <f t="shared" si="0"/>
        <v>Benue</v>
      </c>
      <c r="H13">
        <f t="shared" si="1"/>
        <v>380000</v>
      </c>
    </row>
    <row r="14" spans="1:8">
      <c r="A14">
        <v>11</v>
      </c>
      <c r="B14" t="str" cm="1">
        <f t="array" ref="B14">INDEX(nigeria_food_insecurity_all_sta!$A$2:$A$38,MATCH(LARGE(nigeria_food_insecurity_all_sta!$I$2:$I$38,A14),nigeria_food_insecurity_all_sta!$I$2:$I$38,0))</f>
        <v>Bauchi</v>
      </c>
      <c r="C14" t="str" cm="1">
        <f t="array" ref="C14">INDEX(nigeria_food_insecurity_all_sta!$B$2:$B$38,MATCH(LARGE(nigeria_food_insecurity_all_sta!$I$2:$I$38,A14),nigeria_food_insecurity_all_sta!$I$2:$I$38,0))</f>
        <v>North East</v>
      </c>
      <c r="D14">
        <f>LARGE(nigeria_food_insecurity_all_sta!$I$2:$I$38,A14)</f>
        <v>310000</v>
      </c>
      <c r="E14" s="62">
        <f>D14/SUM(nigeria_food_insecurity_all_sta!$I$2:$I$38)*100</f>
        <v>3.46330018992291</v>
      </c>
    </row>
    <row r="15" spans="1:8">
      <c r="A15">
        <v>12</v>
      </c>
      <c r="B15" t="str" cm="1">
        <f t="array" ref="B15">INDEX(nigeria_food_insecurity_all_sta!$A$2:$A$38,MATCH(LARGE(nigeria_food_insecurity_all_sta!$I$2:$I$38,A15),nigeria_food_insecurity_all_sta!$I$2:$I$38,0))</f>
        <v>Bauchi</v>
      </c>
      <c r="C15" t="str" cm="1">
        <f t="array" ref="C15">INDEX(nigeria_food_insecurity_all_sta!$B$2:$B$38,MATCH(LARGE(nigeria_food_insecurity_all_sta!$I$2:$I$38,A15),nigeria_food_insecurity_all_sta!$I$2:$I$38,0))</f>
        <v>North East</v>
      </c>
      <c r="D15">
        <f>LARGE(nigeria_food_insecurity_all_sta!$I$2:$I$38,A15)</f>
        <v>310000</v>
      </c>
      <c r="E15" s="62">
        <f>D15/SUM(nigeria_food_insecurity_all_sta!$I$2:$I$38)*100</f>
        <v>3.46330018992291</v>
      </c>
    </row>
    <row r="16" spans="1:8">
      <c r="A16">
        <v>13</v>
      </c>
      <c r="B16" t="str" cm="1">
        <f t="array" ref="B16">INDEX(nigeria_food_insecurity_all_sta!$A$2:$A$38,MATCH(LARGE(nigeria_food_insecurity_all_sta!$I$2:$I$38,A16),nigeria_food_insecurity_all_sta!$I$2:$I$38,0))</f>
        <v>Kebbi</v>
      </c>
      <c r="C16" t="str" cm="1">
        <f t="array" ref="C16">INDEX(nigeria_food_insecurity_all_sta!$B$2:$B$38,MATCH(LARGE(nigeria_food_insecurity_all_sta!$I$2:$I$38,A16),nigeria_food_insecurity_all_sta!$I$2:$I$38,0))</f>
        <v>North West</v>
      </c>
      <c r="D16">
        <f>LARGE(nigeria_food_insecurity_all_sta!$I$2:$I$38,A16)</f>
        <v>265000</v>
      </c>
      <c r="E16" s="62">
        <f>D16/SUM(nigeria_food_insecurity_all_sta!$I$2:$I$38)*100</f>
        <v>2.96056306557927</v>
      </c>
    </row>
    <row r="17" spans="1:5">
      <c r="A17">
        <v>14</v>
      </c>
      <c r="B17" t="str" cm="1">
        <f t="array" ref="B17">INDEX(nigeria_food_insecurity_all_sta!$A$2:$A$38,MATCH(LARGE(nigeria_food_insecurity_all_sta!$I$2:$I$38,A17),nigeria_food_insecurity_all_sta!$I$2:$I$38,0))</f>
        <v>Taraba</v>
      </c>
      <c r="C17" t="str" cm="1">
        <f t="array" ref="C17">INDEX(nigeria_food_insecurity_all_sta!$B$2:$B$38,MATCH(LARGE(nigeria_food_insecurity_all_sta!$I$2:$I$38,A17),nigeria_food_insecurity_all_sta!$I$2:$I$38,0))</f>
        <v>North East</v>
      </c>
      <c r="D17">
        <f>LARGE(nigeria_food_insecurity_all_sta!$I$2:$I$38,A17)</f>
        <v>248000</v>
      </c>
      <c r="E17" s="62">
        <f>D17/SUM(nigeria_food_insecurity_all_sta!$I$2:$I$38)*100</f>
        <v>2.77064015193833</v>
      </c>
    </row>
    <row r="18" spans="1:5">
      <c r="A18">
        <v>15</v>
      </c>
      <c r="B18" t="str" cm="1">
        <f t="array" ref="B18">INDEX(nigeria_food_insecurity_all_sta!$A$2:$A$38,MATCH(LARGE(nigeria_food_insecurity_all_sta!$I$2:$I$38,A18),nigeria_food_insecurity_all_sta!$I$2:$I$38,0))</f>
        <v>Gombe</v>
      </c>
      <c r="C18" t="str" cm="1">
        <f t="array" ref="C18">INDEX(nigeria_food_insecurity_all_sta!$B$2:$B$38,MATCH(LARGE(nigeria_food_insecurity_all_sta!$I$2:$I$38,A18),nigeria_food_insecurity_all_sta!$I$2:$I$38,0))</f>
        <v>North East</v>
      </c>
      <c r="D18">
        <f>LARGE(nigeria_food_insecurity_all_sta!$I$2:$I$38,A18)</f>
        <v>240000</v>
      </c>
      <c r="E18" s="62">
        <f>D18/SUM(nigeria_food_insecurity_all_sta!$I$2:$I$38)*100</f>
        <v>2.68126466316613</v>
      </c>
    </row>
    <row r="19" spans="1:5">
      <c r="A19">
        <v>16</v>
      </c>
      <c r="B19" t="str" cm="1">
        <f t="array" ref="B19">INDEX(nigeria_food_insecurity_all_sta!$A$2:$A$38,MATCH(LARGE(nigeria_food_insecurity_all_sta!$I$2:$I$38,A19),nigeria_food_insecurity_all_sta!$I$2:$I$38,0))</f>
        <v>Plateau</v>
      </c>
      <c r="C19" t="str" cm="1">
        <f t="array" ref="C19">INDEX(nigeria_food_insecurity_all_sta!$B$2:$B$38,MATCH(LARGE(nigeria_food_insecurity_all_sta!$I$2:$I$38,A19),nigeria_food_insecurity_all_sta!$I$2:$I$38,0))</f>
        <v>North Central</v>
      </c>
      <c r="D19">
        <f>LARGE(nigeria_food_insecurity_all_sta!$I$2:$I$38,A19)</f>
        <v>215000</v>
      </c>
      <c r="E19" s="62">
        <f>D19/SUM(nigeria_food_insecurity_all_sta!$I$2:$I$38)*100</f>
        <v>2.40196626075299</v>
      </c>
    </row>
    <row r="20" spans="1:5">
      <c r="A20">
        <v>17</v>
      </c>
      <c r="B20" t="str" cm="1">
        <f t="array" ref="B20">INDEX(nigeria_food_insecurity_all_sta!$A$2:$A$38,MATCH(LARGE(nigeria_food_insecurity_all_sta!$I$2:$I$38,A20),nigeria_food_insecurity_all_sta!$I$2:$I$38,0))</f>
        <v>Nasarawa</v>
      </c>
      <c r="C20" t="str" cm="1">
        <f t="array" ref="C20">INDEX(nigeria_food_insecurity_all_sta!$B$2:$B$38,MATCH(LARGE(nigeria_food_insecurity_all_sta!$I$2:$I$38,A20),nigeria_food_insecurity_all_sta!$I$2:$I$38,0))</f>
        <v>North Central</v>
      </c>
      <c r="D20">
        <f>LARGE(nigeria_food_insecurity_all_sta!$I$2:$I$38,A20)</f>
        <v>158000</v>
      </c>
      <c r="E20" s="62">
        <f>D20/SUM(nigeria_food_insecurity_all_sta!$I$2:$I$38)*100</f>
        <v>1.76516590325103</v>
      </c>
    </row>
    <row r="21" spans="1:5">
      <c r="A21">
        <v>18</v>
      </c>
      <c r="B21" t="str" cm="1">
        <f t="array" ref="B21">INDEX(nigeria_food_insecurity_all_sta!$A$2:$A$38,MATCH(LARGE(nigeria_food_insecurity_all_sta!$I$2:$I$38,A21),nigeria_food_insecurity_all_sta!$I$2:$I$38,0))</f>
        <v>Kogi</v>
      </c>
      <c r="C21" t="str" cm="1">
        <f t="array" ref="C21">INDEX(nigeria_food_insecurity_all_sta!$B$2:$B$38,MATCH(LARGE(nigeria_food_insecurity_all_sta!$I$2:$I$38,A21),nigeria_food_insecurity_all_sta!$I$2:$I$38,0))</f>
        <v>North Central</v>
      </c>
      <c r="D21">
        <f>LARGE(nigeria_food_insecurity_all_sta!$I$2:$I$38,A21)</f>
        <v>155000</v>
      </c>
      <c r="E21" s="62">
        <f>D21/SUM(nigeria_food_insecurity_all_sta!$I$2:$I$38)*100</f>
        <v>1.73165009496146</v>
      </c>
    </row>
    <row r="22" spans="1:5">
      <c r="A22">
        <v>19</v>
      </c>
      <c r="B22" t="str" cm="1">
        <f t="array" ref="B22">INDEX(nigeria_food_insecurity_all_sta!$A$2:$A$38,MATCH(LARGE(nigeria_food_insecurity_all_sta!$I$2:$I$38,A22),nigeria_food_insecurity_all_sta!$I$2:$I$38,0))</f>
        <v>Kwara</v>
      </c>
      <c r="C22" t="str" cm="1">
        <f t="array" ref="C22">INDEX(nigeria_food_insecurity_all_sta!$B$2:$B$38,MATCH(LARGE(nigeria_food_insecurity_all_sta!$I$2:$I$38,A22),nigeria_food_insecurity_all_sta!$I$2:$I$38,0))</f>
        <v>North Central</v>
      </c>
      <c r="D22">
        <f>LARGE(nigeria_food_insecurity_all_sta!$I$2:$I$38,A22)</f>
        <v>135000</v>
      </c>
      <c r="E22" s="62">
        <f>D22/SUM(nigeria_food_insecurity_all_sta!$I$2:$I$38)*100</f>
        <v>1.50821137303095</v>
      </c>
    </row>
    <row r="23" spans="1:5">
      <c r="A23">
        <v>20</v>
      </c>
      <c r="B23" t="str" cm="1">
        <f t="array" ref="B23">INDEX(nigeria_food_insecurity_all_sta!$A$2:$A$38,MATCH(LARGE(nigeria_food_insecurity_all_sta!$I$2:$I$38,A23),nigeria_food_insecurity_all_sta!$I$2:$I$38,0))</f>
        <v>Lagos</v>
      </c>
      <c r="C23" t="str" cm="1">
        <f t="array" ref="C23">INDEX(nigeria_food_insecurity_all_sta!$B$2:$B$38,MATCH(LARGE(nigeria_food_insecurity_all_sta!$I$2:$I$38,A23),nigeria_food_insecurity_all_sta!$I$2:$I$38,0))</f>
        <v>South West</v>
      </c>
      <c r="D23">
        <f>LARGE(nigeria_food_insecurity_all_sta!$I$2:$I$38,A23)</f>
        <v>128000</v>
      </c>
      <c r="E23" s="62">
        <f>D23/SUM(nigeria_food_insecurity_all_sta!$I$2:$I$38)*100</f>
        <v>1.43000782035527</v>
      </c>
    </row>
    <row r="24" spans="1:5">
      <c r="A24">
        <v>21</v>
      </c>
      <c r="B24" t="str" cm="1">
        <f t="array" ref="B24">INDEX(nigeria_food_insecurity_all_sta!$A$2:$A$38,MATCH(LARGE(nigeria_food_insecurity_all_sta!$I$2:$I$38,A24),nigeria_food_insecurity_all_sta!$I$2:$I$38,0))</f>
        <v>FCT</v>
      </c>
      <c r="C24" t="str" cm="1">
        <f t="array" ref="C24">INDEX(nigeria_food_insecurity_all_sta!$B$2:$B$38,MATCH(LARGE(nigeria_food_insecurity_all_sta!$I$2:$I$38,A24),nigeria_food_insecurity_all_sta!$I$2:$I$38,0))</f>
        <v>North Central</v>
      </c>
      <c r="D24">
        <f>LARGE(nigeria_food_insecurity_all_sta!$I$2:$I$38,A24)</f>
        <v>95000</v>
      </c>
      <c r="E24" s="62">
        <f>D24/SUM(nigeria_food_insecurity_all_sta!$I$2:$I$38)*100</f>
        <v>1.06133392916993</v>
      </c>
    </row>
    <row r="25" spans="1:5">
      <c r="A25">
        <v>22</v>
      </c>
      <c r="B25" t="str" cm="1">
        <f t="array" ref="B25">INDEX(nigeria_food_insecurity_all_sta!$A$2:$A$38,MATCH(LARGE(nigeria_food_insecurity_all_sta!$I$2:$I$38,A25),nigeria_food_insecurity_all_sta!$I$2:$I$38,0))</f>
        <v>Rivers</v>
      </c>
      <c r="C25" t="str" cm="1">
        <f t="array" ref="C25">INDEX(nigeria_food_insecurity_all_sta!$B$2:$B$38,MATCH(LARGE(nigeria_food_insecurity_all_sta!$I$2:$I$38,A25),nigeria_food_insecurity_all_sta!$I$2:$I$38,0))</f>
        <v>South South</v>
      </c>
      <c r="D25">
        <f>LARGE(nigeria_food_insecurity_all_sta!$I$2:$I$38,A25)</f>
        <v>90000</v>
      </c>
      <c r="E25" s="62">
        <f>D25/SUM(nigeria_food_insecurity_all_sta!$I$2:$I$38)*100</f>
        <v>1.0054742486873</v>
      </c>
    </row>
    <row r="26" spans="1:5">
      <c r="A26">
        <v>23</v>
      </c>
      <c r="B26" t="str" cm="1">
        <f t="array" ref="B26">INDEX(nigeria_food_insecurity_all_sta!$A$2:$A$38,MATCH(LARGE(nigeria_food_insecurity_all_sta!$I$2:$I$38,A26),nigeria_food_insecurity_all_sta!$I$2:$I$38,0))</f>
        <v>Oyo</v>
      </c>
      <c r="C26" t="str" cm="1">
        <f t="array" ref="C26">INDEX(nigeria_food_insecurity_all_sta!$B$2:$B$38,MATCH(LARGE(nigeria_food_insecurity_all_sta!$I$2:$I$38,A26),nigeria_food_insecurity_all_sta!$I$2:$I$38,0))</f>
        <v>South West</v>
      </c>
      <c r="D26">
        <f>LARGE(nigeria_food_insecurity_all_sta!$I$2:$I$38,A26)</f>
        <v>78000</v>
      </c>
      <c r="E26" s="62">
        <f>D26/SUM(nigeria_food_insecurity_all_sta!$I$2:$I$38)*100</f>
        <v>0.871411015528991</v>
      </c>
    </row>
    <row r="27" spans="1:5">
      <c r="A27">
        <v>24</v>
      </c>
      <c r="B27" t="str" cm="1">
        <f t="array" ref="B27">INDEX(nigeria_food_insecurity_all_sta!$A$2:$A$38,MATCH(LARGE(nigeria_food_insecurity_all_sta!$I$2:$I$38,A27),nigeria_food_insecurity_all_sta!$I$2:$I$38,0))</f>
        <v>Ogun</v>
      </c>
      <c r="C27" t="str" cm="1">
        <f t="array" ref="C27">INDEX(nigeria_food_insecurity_all_sta!$B$2:$B$38,MATCH(LARGE(nigeria_food_insecurity_all_sta!$I$2:$I$38,A27),nigeria_food_insecurity_all_sta!$I$2:$I$38,0))</f>
        <v>South West</v>
      </c>
      <c r="D27">
        <f>LARGE(nigeria_food_insecurity_all_sta!$I$2:$I$38,A27)</f>
        <v>68000</v>
      </c>
      <c r="E27" s="62">
        <f>D27/SUM(nigeria_food_insecurity_all_sta!$I$2:$I$38)*100</f>
        <v>0.759691654563736</v>
      </c>
    </row>
    <row r="28" spans="1:5">
      <c r="A28">
        <v>25</v>
      </c>
      <c r="B28" t="str" cm="1">
        <f t="array" ref="B28">INDEX(nigeria_food_insecurity_all_sta!$A$2:$A$38,MATCH(LARGE(nigeria_food_insecurity_all_sta!$I$2:$I$38,A28),nigeria_food_insecurity_all_sta!$I$2:$I$38,0))</f>
        <v>Cross River</v>
      </c>
      <c r="C28" t="str" cm="1">
        <f t="array" ref="C28">INDEX(nigeria_food_insecurity_all_sta!$B$2:$B$38,MATCH(LARGE(nigeria_food_insecurity_all_sta!$I$2:$I$38,A28),nigeria_food_insecurity_all_sta!$I$2:$I$38,0))</f>
        <v>South South</v>
      </c>
      <c r="D28">
        <f>LARGE(nigeria_food_insecurity_all_sta!$I$2:$I$38,A28)</f>
        <v>58000</v>
      </c>
      <c r="E28" s="62">
        <f>D28/SUM(nigeria_food_insecurity_all_sta!$I$2:$I$38)*100</f>
        <v>0.647972293598481</v>
      </c>
    </row>
    <row r="29" spans="1:5">
      <c r="A29">
        <v>26</v>
      </c>
      <c r="B29" t="str" cm="1">
        <f t="array" ref="B29">INDEX(nigeria_food_insecurity_all_sta!$A$2:$A$38,MATCH(LARGE(nigeria_food_insecurity_all_sta!$I$2:$I$38,A29),nigeria_food_insecurity_all_sta!$I$2:$I$38,0))</f>
        <v>Delta</v>
      </c>
      <c r="C29" t="str" cm="1">
        <f t="array" ref="C29">INDEX(nigeria_food_insecurity_all_sta!$B$2:$B$38,MATCH(LARGE(nigeria_food_insecurity_all_sta!$I$2:$I$38,A29),nigeria_food_insecurity_all_sta!$I$2:$I$38,0))</f>
        <v>South South</v>
      </c>
      <c r="D29">
        <f>LARGE(nigeria_food_insecurity_all_sta!$I$2:$I$38,A29)</f>
        <v>55000</v>
      </c>
      <c r="E29" s="62">
        <f>D29/SUM(nigeria_food_insecurity_all_sta!$I$2:$I$38)*100</f>
        <v>0.614456485308904</v>
      </c>
    </row>
    <row r="30" spans="1:5">
      <c r="A30">
        <v>27</v>
      </c>
      <c r="B30" t="str" cm="1">
        <f t="array" ref="B30">INDEX(nigeria_food_insecurity_all_sta!$A$2:$A$38,MATCH(LARGE(nigeria_food_insecurity_all_sta!$I$2:$I$38,A30),nigeria_food_insecurity_all_sta!$I$2:$I$38,0))</f>
        <v>Anambra</v>
      </c>
      <c r="C30" t="str" cm="1">
        <f t="array" ref="C30">INDEX(nigeria_food_insecurity_all_sta!$B$2:$B$38,MATCH(LARGE(nigeria_food_insecurity_all_sta!$I$2:$I$38,A30),nigeria_food_insecurity_all_sta!$I$2:$I$38,0))</f>
        <v>South East</v>
      </c>
      <c r="D30">
        <f>LARGE(nigeria_food_insecurity_all_sta!$I$2:$I$38,A30)</f>
        <v>52000</v>
      </c>
      <c r="E30" s="62">
        <f>D30/SUM(nigeria_food_insecurity_all_sta!$I$2:$I$38)*100</f>
        <v>0.580940677019327</v>
      </c>
    </row>
    <row r="31" spans="1:5">
      <c r="A31">
        <v>28</v>
      </c>
      <c r="B31" t="str" cm="1">
        <f t="array" ref="B31">INDEX(nigeria_food_insecurity_all_sta!$A$2:$A$38,MATCH(LARGE(nigeria_food_insecurity_all_sta!$I$2:$I$38,A31),nigeria_food_insecurity_all_sta!$I$2:$I$38,0))</f>
        <v>Edo</v>
      </c>
      <c r="C31" t="str" cm="1">
        <f t="array" ref="C31">INDEX(nigeria_food_insecurity_all_sta!$B$2:$B$38,MATCH(LARGE(nigeria_food_insecurity_all_sta!$I$2:$I$38,A31),nigeria_food_insecurity_all_sta!$I$2:$I$38,0))</f>
        <v>South South</v>
      </c>
      <c r="D31">
        <f>LARGE(nigeria_food_insecurity_all_sta!$I$2:$I$38,A31)</f>
        <v>50000</v>
      </c>
      <c r="E31" s="62">
        <f>D31/SUM(nigeria_food_insecurity_all_sta!$I$2:$I$38)*100</f>
        <v>0.558596804826276</v>
      </c>
    </row>
    <row r="32" spans="1:5">
      <c r="A32">
        <v>29</v>
      </c>
      <c r="B32" t="str" cm="1">
        <f t="array" ref="B32">INDEX(nigeria_food_insecurity_all_sta!$A$2:$A$38,MATCH(LARGE(nigeria_food_insecurity_all_sta!$I$2:$I$38,A32),nigeria_food_insecurity_all_sta!$I$2:$I$38,0))</f>
        <v>Edo</v>
      </c>
      <c r="C32" t="str" cm="1">
        <f t="array" ref="C32">INDEX(nigeria_food_insecurity_all_sta!$B$2:$B$38,MATCH(LARGE(nigeria_food_insecurity_all_sta!$I$2:$I$38,A32),nigeria_food_insecurity_all_sta!$I$2:$I$38,0))</f>
        <v>South South</v>
      </c>
      <c r="D32">
        <f>LARGE(nigeria_food_insecurity_all_sta!$I$2:$I$38,A32)</f>
        <v>50000</v>
      </c>
      <c r="E32" s="62">
        <f>D32/SUM(nigeria_food_insecurity_all_sta!$I$2:$I$38)*100</f>
        <v>0.558596804826276</v>
      </c>
    </row>
    <row r="33" spans="1:5">
      <c r="A33">
        <v>30</v>
      </c>
      <c r="B33" t="str" cm="1">
        <f t="array" ref="B33">INDEX(nigeria_food_insecurity_all_sta!$A$2:$A$38,MATCH(LARGE(nigeria_food_insecurity_all_sta!$I$2:$I$38,A33),nigeria_food_insecurity_all_sta!$I$2:$I$38,0))</f>
        <v>Akwa Ibom</v>
      </c>
      <c r="C33" t="str" cm="1">
        <f t="array" ref="C33">INDEX(nigeria_food_insecurity_all_sta!$B$2:$B$38,MATCH(LARGE(nigeria_food_insecurity_all_sta!$I$2:$I$38,A33),nigeria_food_insecurity_all_sta!$I$2:$I$38,0))</f>
        <v>South South</v>
      </c>
      <c r="D33">
        <f>LARGE(nigeria_food_insecurity_all_sta!$I$2:$I$38,A33)</f>
        <v>48000</v>
      </c>
      <c r="E33" s="62">
        <f>D33/SUM(nigeria_food_insecurity_all_sta!$I$2:$I$38)*100</f>
        <v>0.536252932633225</v>
      </c>
    </row>
    <row r="34" spans="1:5">
      <c r="A34">
        <v>31</v>
      </c>
      <c r="B34" t="str" cm="1">
        <f t="array" ref="B34">INDEX(nigeria_food_insecurity_all_sta!$A$2:$A$38,MATCH(LARGE(nigeria_food_insecurity_all_sta!$I$2:$I$38,A34),nigeria_food_insecurity_all_sta!$I$2:$I$38,0))</f>
        <v>Akwa Ibom</v>
      </c>
      <c r="C34" t="str" cm="1">
        <f t="array" ref="C34">INDEX(nigeria_food_insecurity_all_sta!$B$2:$B$38,MATCH(LARGE(nigeria_food_insecurity_all_sta!$I$2:$I$38,A34),nigeria_food_insecurity_all_sta!$I$2:$I$38,0))</f>
        <v>South South</v>
      </c>
      <c r="D34">
        <f>LARGE(nigeria_food_insecurity_all_sta!$I$2:$I$38,A34)</f>
        <v>48000</v>
      </c>
      <c r="E34" s="62">
        <f>D34/SUM(nigeria_food_insecurity_all_sta!$I$2:$I$38)*100</f>
        <v>0.536252932633225</v>
      </c>
    </row>
    <row r="35" spans="1:5">
      <c r="A35">
        <v>32</v>
      </c>
      <c r="B35" t="str" cm="1">
        <f t="array" ref="B35">INDEX(nigeria_food_insecurity_all_sta!$A$2:$A$38,MATCH(LARGE(nigeria_food_insecurity_all_sta!$I$2:$I$38,A35),nigeria_food_insecurity_all_sta!$I$2:$I$38,0))</f>
        <v>Imo</v>
      </c>
      <c r="C35" t="str" cm="1">
        <f t="array" ref="C35">INDEX(nigeria_food_insecurity_all_sta!$B$2:$B$38,MATCH(LARGE(nigeria_food_insecurity_all_sta!$I$2:$I$38,A35),nigeria_food_insecurity_all_sta!$I$2:$I$38,0))</f>
        <v>South East</v>
      </c>
      <c r="D35">
        <f>LARGE(nigeria_food_insecurity_all_sta!$I$2:$I$38,A35)</f>
        <v>46000</v>
      </c>
      <c r="E35" s="62">
        <f>D35/SUM(nigeria_food_insecurity_all_sta!$I$2:$I$38)*100</f>
        <v>0.513909060440174</v>
      </c>
    </row>
    <row r="36" spans="1:5">
      <c r="A36">
        <v>33</v>
      </c>
      <c r="B36" t="str" cm="1">
        <f t="array" ref="B36">INDEX(nigeria_food_insecurity_all_sta!$A$2:$A$38,MATCH(LARGE(nigeria_food_insecurity_all_sta!$I$2:$I$38,A36),nigeria_food_insecurity_all_sta!$I$2:$I$38,0))</f>
        <v>Imo</v>
      </c>
      <c r="C36" t="str" cm="1">
        <f t="array" ref="C36">INDEX(nigeria_food_insecurity_all_sta!$B$2:$B$38,MATCH(LARGE(nigeria_food_insecurity_all_sta!$I$2:$I$38,A36),nigeria_food_insecurity_all_sta!$I$2:$I$38,0))</f>
        <v>South East</v>
      </c>
      <c r="D36">
        <f>LARGE(nigeria_food_insecurity_all_sta!$I$2:$I$38,A36)</f>
        <v>46000</v>
      </c>
      <c r="E36" s="62">
        <f>D36/SUM(nigeria_food_insecurity_all_sta!$I$2:$I$38)*100</f>
        <v>0.513909060440174</v>
      </c>
    </row>
    <row r="37" spans="1:5">
      <c r="A37">
        <v>34</v>
      </c>
      <c r="B37" t="str" cm="1">
        <f t="array" ref="B37">INDEX(nigeria_food_insecurity_all_sta!$A$2:$A$38,MATCH(LARGE(nigeria_food_insecurity_all_sta!$I$2:$I$38,A37),nigeria_food_insecurity_all_sta!$I$2:$I$38,0))</f>
        <v>Ebonyi</v>
      </c>
      <c r="C37" t="str" cm="1">
        <f t="array" ref="C37">INDEX(nigeria_food_insecurity_all_sta!$B$2:$B$38,MATCH(LARGE(nigeria_food_insecurity_all_sta!$I$2:$I$38,A37),nigeria_food_insecurity_all_sta!$I$2:$I$38,0))</f>
        <v>South East</v>
      </c>
      <c r="D37">
        <f>LARGE(nigeria_food_insecurity_all_sta!$I$2:$I$38,A37)</f>
        <v>45000</v>
      </c>
      <c r="E37" s="62">
        <f>D37/SUM(nigeria_food_insecurity_all_sta!$I$2:$I$38)*100</f>
        <v>0.502737124343649</v>
      </c>
    </row>
    <row r="38" spans="1:5">
      <c r="A38">
        <v>35</v>
      </c>
      <c r="B38" t="str" cm="1">
        <f t="array" ref="B38">INDEX(nigeria_food_insecurity_all_sta!$A$2:$A$38,MATCH(LARGE(nigeria_food_insecurity_all_sta!$I$2:$I$38,A38),nigeria_food_insecurity_all_sta!$I$2:$I$38,0))</f>
        <v>Abia</v>
      </c>
      <c r="C38" t="str" cm="1">
        <f t="array" ref="C38">INDEX(nigeria_food_insecurity_all_sta!$B$2:$B$38,MATCH(LARGE(nigeria_food_insecurity_all_sta!$I$2:$I$38,A38),nigeria_food_insecurity_all_sta!$I$2:$I$38,0))</f>
        <v>South East</v>
      </c>
      <c r="D38">
        <f>LARGE(nigeria_food_insecurity_all_sta!$I$2:$I$38,A38)</f>
        <v>42000</v>
      </c>
      <c r="E38" s="62">
        <f>D38/SUM(nigeria_food_insecurity_all_sta!$I$2:$I$38)*100</f>
        <v>0.469221316054072</v>
      </c>
    </row>
    <row r="39" spans="1:5">
      <c r="A39">
        <v>36</v>
      </c>
      <c r="B39" t="str" cm="1">
        <f t="array" ref="B39">INDEX(nigeria_food_insecurity_all_sta!$A$2:$A$38,MATCH(LARGE(nigeria_food_insecurity_all_sta!$I$2:$I$38,A39),nigeria_food_insecurity_all_sta!$I$2:$I$38,0))</f>
        <v>Bayelsa</v>
      </c>
      <c r="C39" t="str" cm="1">
        <f t="array" ref="C39">INDEX(nigeria_food_insecurity_all_sta!$B$2:$B$38,MATCH(LARGE(nigeria_food_insecurity_all_sta!$I$2:$I$38,A39),nigeria_food_insecurity_all_sta!$I$2:$I$38,0))</f>
        <v>South South</v>
      </c>
      <c r="D39">
        <f>LARGE(nigeria_food_insecurity_all_sta!$I$2:$I$38,A39)</f>
        <v>38000</v>
      </c>
      <c r="E39" s="62">
        <f>D39/SUM(nigeria_food_insecurity_all_sta!$I$2:$I$38)*100</f>
        <v>0.42453357166797</v>
      </c>
    </row>
    <row r="40" spans="1:5">
      <c r="A40">
        <v>37</v>
      </c>
      <c r="B40" t="str" cm="1">
        <f t="array" ref="B40">INDEX(nigeria_food_insecurity_all_sta!$A$2:$A$38,MATCH(LARGE(nigeria_food_insecurity_all_sta!$I$2:$I$38,A40),nigeria_food_insecurity_all_sta!$I$2:$I$38,0))</f>
        <v>Bayelsa</v>
      </c>
      <c r="C40" t="str" cm="1">
        <f t="array" ref="C40">INDEX(nigeria_food_insecurity_all_sta!$B$2:$B$38,MATCH(LARGE(nigeria_food_insecurity_all_sta!$I$2:$I$38,A40),nigeria_food_insecurity_all_sta!$I$2:$I$38,0))</f>
        <v>South South</v>
      </c>
      <c r="D40">
        <f>LARGE(nigeria_food_insecurity_all_sta!$I$2:$I$38,A40)</f>
        <v>38000</v>
      </c>
      <c r="E40" s="62">
        <f>D40/SUM(nigeria_food_insecurity_all_sta!$I$2:$I$38)*100</f>
        <v>0.42453357166797</v>
      </c>
    </row>
    <row r="42" spans="1:5">
      <c r="A42" s="63" t="s">
        <v>90</v>
      </c>
      <c r="D42" s="64">
        <f>SUM(D4:D40)</f>
        <v>8951000</v>
      </c>
      <c r="E42" s="64">
        <f>SUM(E4:E40)</f>
        <v>100</v>
      </c>
    </row>
  </sheetData>
  <mergeCells count="1">
    <mergeCell ref="A1:D1"/>
  </mergeCells>
  <pageMargins left="0.75" right="0.75" top="1" bottom="1" header="0.5" footer="0.5"/>
  <headerFooter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N46"/>
  <sheetViews>
    <sheetView showGridLines="0" zoomScale="70" zoomScaleNormal="70" workbookViewId="0">
      <selection activeCell="R4" sqref="R4"/>
    </sheetView>
  </sheetViews>
  <sheetFormatPr defaultColWidth="9.14285714285714" defaultRowHeight="15"/>
  <cols>
    <col min="3" max="3" width="16.3238095238095" customWidth="1"/>
    <col min="6" max="6" width="16.3238095238095" customWidth="1"/>
    <col min="7" max="7" width="13.4666666666667" customWidth="1"/>
    <col min="8" max="8" width="2.03809523809524" customWidth="1"/>
    <col min="9" max="9" width="16.3238095238095" customWidth="1"/>
    <col min="12" max="12" width="16.3238095238095" customWidth="1"/>
  </cols>
  <sheetData>
    <row r="1" ht="23.25" spans="1:14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96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>
      <c r="A3" s="7"/>
      <c r="N3" s="8"/>
    </row>
    <row r="4" ht="24" customHeight="1" spans="1:14">
      <c r="A4" s="9" t="s">
        <v>97</v>
      </c>
      <c r="B4" s="10"/>
      <c r="C4" s="11"/>
      <c r="D4" s="12" t="s">
        <v>98</v>
      </c>
      <c r="E4" s="13"/>
      <c r="F4" s="14"/>
      <c r="G4" s="15" t="s">
        <v>99</v>
      </c>
      <c r="H4" s="16"/>
      <c r="I4" s="17"/>
      <c r="J4" s="18" t="s">
        <v>100</v>
      </c>
      <c r="K4" s="19"/>
      <c r="L4" s="20"/>
      <c r="N4" s="8"/>
    </row>
    <row r="5" spans="1:14">
      <c r="A5" s="21"/>
      <c r="B5" s="22"/>
      <c r="C5" s="23"/>
      <c r="D5" s="24"/>
      <c r="E5" s="25"/>
      <c r="F5" s="26"/>
      <c r="G5" s="27"/>
      <c r="H5" s="28"/>
      <c r="I5" s="29"/>
      <c r="J5" s="30"/>
      <c r="K5" s="31"/>
      <c r="L5" s="32"/>
      <c r="N5" s="8"/>
    </row>
    <row r="6" spans="1:14">
      <c r="A6" s="21"/>
      <c r="B6" s="22"/>
      <c r="C6" s="23"/>
      <c r="D6" s="24"/>
      <c r="E6" s="25"/>
      <c r="F6" s="26"/>
      <c r="G6" s="27"/>
      <c r="H6" s="28"/>
      <c r="I6" s="29"/>
      <c r="J6" s="30"/>
      <c r="K6" s="31"/>
      <c r="L6" s="32"/>
      <c r="N6" s="8"/>
    </row>
    <row r="7" spans="1:14">
      <c r="A7" s="33"/>
      <c r="B7" s="34"/>
      <c r="C7" s="35"/>
      <c r="D7" s="36"/>
      <c r="E7" s="37"/>
      <c r="F7" s="38"/>
      <c r="G7" s="39"/>
      <c r="H7" s="40"/>
      <c r="I7" s="41"/>
      <c r="J7" s="42"/>
      <c r="K7" s="43"/>
      <c r="L7" s="44"/>
      <c r="N7" s="8"/>
    </row>
    <row r="8" spans="1:14">
      <c r="A8" s="45" t="s">
        <v>101</v>
      </c>
      <c r="B8" s="46"/>
      <c r="C8" s="46"/>
      <c r="D8" s="46"/>
      <c r="E8" s="46"/>
      <c r="F8" s="46"/>
      <c r="G8" s="46" t="s">
        <v>102</v>
      </c>
      <c r="H8" s="47"/>
      <c r="I8" s="47"/>
      <c r="J8" s="47"/>
      <c r="K8" s="47"/>
      <c r="L8" s="47"/>
      <c r="M8" s="47"/>
      <c r="N8" s="48"/>
    </row>
    <row r="9" spans="1:14">
      <c r="A9" s="7"/>
      <c r="N9" s="8"/>
    </row>
    <row r="10" spans="1:14">
      <c r="A10" s="7"/>
      <c r="N10" s="8"/>
    </row>
    <row r="11" spans="1:14">
      <c r="A11" s="7"/>
      <c r="N11" s="8"/>
    </row>
    <row r="12" spans="1:14">
      <c r="A12" s="7"/>
      <c r="N12" s="8"/>
    </row>
    <row r="13" spans="1:14">
      <c r="A13" s="7"/>
      <c r="N13" s="8"/>
    </row>
    <row r="14" spans="1:14">
      <c r="A14" s="7"/>
      <c r="N14" s="8"/>
    </row>
    <row r="15" spans="1:14">
      <c r="A15" s="7"/>
      <c r="N15" s="8"/>
    </row>
    <row r="16" spans="1:14">
      <c r="A16" s="7"/>
      <c r="N16" s="8"/>
    </row>
    <row r="17" spans="1:14">
      <c r="A17" s="7"/>
      <c r="N17" s="8"/>
    </row>
    <row r="18" spans="1:14">
      <c r="A18" s="7"/>
      <c r="N18" s="8"/>
    </row>
    <row r="19" spans="1:14">
      <c r="A19" s="7"/>
      <c r="J19" s="49"/>
      <c r="N19" s="8"/>
    </row>
    <row r="20" spans="1:14">
      <c r="A20" s="7"/>
      <c r="N20" s="8"/>
    </row>
    <row r="21" spans="1:14">
      <c r="A21" s="7"/>
      <c r="N21" s="8"/>
    </row>
    <row r="22" spans="1:14">
      <c r="A22" s="7"/>
      <c r="N22" s="8"/>
    </row>
    <row r="23" spans="1:14">
      <c r="A23" s="7"/>
      <c r="N23" s="8"/>
    </row>
    <row r="24" spans="1:14">
      <c r="A24" s="7"/>
      <c r="N24" s="8"/>
    </row>
    <row r="25" spans="1:14">
      <c r="A25" s="7"/>
      <c r="N25" s="8"/>
    </row>
    <row r="26" spans="1:14">
      <c r="A26" s="7"/>
      <c r="N26" s="8"/>
    </row>
    <row r="27" spans="1:14">
      <c r="A27" s="7"/>
      <c r="N27" s="8"/>
    </row>
    <row r="28" spans="1:14">
      <c r="A28" s="50" t="s">
        <v>102</v>
      </c>
      <c r="B28" s="51"/>
      <c r="C28" s="51"/>
      <c r="D28" s="51"/>
      <c r="E28" s="51"/>
      <c r="F28" s="51"/>
      <c r="G28" s="52" t="s">
        <v>103</v>
      </c>
      <c r="H28" s="51"/>
      <c r="I28" s="51"/>
      <c r="J28" s="51"/>
      <c r="K28" s="51"/>
      <c r="L28" s="51"/>
      <c r="M28" s="51"/>
      <c r="N28" s="53"/>
    </row>
    <row r="29" spans="1:14">
      <c r="A29" s="7"/>
      <c r="N29" s="8"/>
    </row>
    <row r="30" spans="1:14">
      <c r="A30" s="7"/>
      <c r="N30" s="8"/>
    </row>
    <row r="31" spans="1:14">
      <c r="A31" s="7"/>
      <c r="N31" s="8"/>
    </row>
    <row r="32" spans="1:14">
      <c r="A32" s="7"/>
      <c r="N32" s="8"/>
    </row>
    <row r="33" spans="1:14">
      <c r="A33" s="7"/>
      <c r="N33" s="8"/>
    </row>
    <row r="34" spans="1:14">
      <c r="A34" s="7"/>
      <c r="N34" s="8"/>
    </row>
    <row r="35" spans="1:14">
      <c r="A35" s="7"/>
      <c r="N35" s="8"/>
    </row>
    <row r="36" spans="1:14">
      <c r="A36" s="7"/>
      <c r="N36" s="8"/>
    </row>
    <row r="37" spans="1:14">
      <c r="A37" s="7"/>
      <c r="N37" s="8"/>
    </row>
    <row r="38" spans="1:14">
      <c r="A38" s="7"/>
      <c r="N38" s="8"/>
    </row>
    <row r="39" spans="1:14">
      <c r="A39" s="7"/>
      <c r="N39" s="8"/>
    </row>
    <row r="40" spans="1:14">
      <c r="A40" s="7"/>
      <c r="N40" s="8"/>
    </row>
    <row r="41" spans="1:14">
      <c r="A41" s="7"/>
      <c r="N41" s="8"/>
    </row>
    <row r="42" spans="1:14">
      <c r="A42" s="7"/>
      <c r="N42" s="8"/>
    </row>
    <row r="43" spans="1:14">
      <c r="A43" s="7"/>
      <c r="N43" s="8"/>
    </row>
    <row r="44" spans="1:14">
      <c r="A44" s="7"/>
      <c r="N44" s="8"/>
    </row>
    <row r="45" spans="1:14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6"/>
    </row>
    <row r="46" spans="1:14">
      <c r="A46" s="57" t="s">
        <v>104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</row>
  </sheetData>
  <mergeCells count="11">
    <mergeCell ref="A1:N1"/>
    <mergeCell ref="A2:N2"/>
    <mergeCell ref="A8:F8"/>
    <mergeCell ref="G8:N8"/>
    <mergeCell ref="A28:F28"/>
    <mergeCell ref="G28:N28"/>
    <mergeCell ref="A46:N46"/>
    <mergeCell ref="A4:C7"/>
    <mergeCell ref="D4:F7"/>
    <mergeCell ref="G4:I7"/>
    <mergeCell ref="J4:L7"/>
  </mergeCells>
  <pageMargins left="0.75" right="0.75" top="1" bottom="1" header="0.5" footer="0.5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nigeria_food_insecurity_all_sta</vt:lpstr>
      <vt:lpstr>Q1 analysis </vt:lpstr>
      <vt:lpstr>Q2 analysis</vt:lpstr>
      <vt:lpstr>Q3 analysis</vt:lpstr>
      <vt:lpstr>Q4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Nashemm001</cp:lastModifiedBy>
  <dcterms:created xsi:type="dcterms:W3CDTF">2026-06-02T12:39:31Z</dcterms:created>
  <dcterms:modified xsi:type="dcterms:W3CDTF">2026-06-03T09:27:00Z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2ABB54D2F3124E3F921BBF7B29A46C2C_13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